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6d31a917b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表核对" sheetId="1" r:id="Rcf2b80b2fff74808"/>
    <x:sheet xmlns:r="http://schemas.openxmlformats.org/officeDocument/2006/relationships" name="数值核对" sheetId="2" r:id="Rb7d0d644a499460b"/>
    <x:sheet xmlns:r="http://schemas.openxmlformats.org/officeDocument/2006/relationships" name="规范核对" sheetId="3" r:id="Rc53d73fddf0e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586A71"/>
      <x:name val="Carlito"/>
    </x:font>
    <x:font>
      <x:b/>
      <x:sz val="11"/>
      <x:color rgb="FF173D46"/>
      <x:name val="Carlito"/>
    </x:font>
    <x:font>
      <x:b/>
      <x:sz val="10"/>
      <x:color rgb="FFFFFFFF"/>
      <x:name val="Carlito"/>
    </x:font>
    <x:font>
      <x:sz val="10"/>
      <x:color rgb="FF27343A"/>
      <x:name val="Carlito"/>
    </x:font>
    <x:font>
      <x:b/>
      <x:sz val="10"/>
      <x:color rgb="FF247A58"/>
      <x:name val="Carlito"/>
    </x:font>
    <x:font>
      <x:b/>
      <x:sz val="10"/>
      <x:color rgb="FF173D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4F7F8"/>
      </x:patternFill>
    </x:fill>
    <x:fill>
      <x:patternFill patternType="solid">
        <x:fgColor rgb="FFDDEFF2"/>
      </x:patternFill>
    </x:fill>
    <x:fill>
      <x:patternFill patternType="solid">
        <x:fgColor rgb="FF1F6F8B"/>
      </x:patternFill>
    </x:fill>
  </x:fills>
  <x:borders count="5">
    <x:border/>
    <x:border>
      <x:left style="thin">
        <x:color rgb="FFBFCBD0"/>
      </x:left>
      <x:right style="thin">
        <x:color rgb="FFBFCBD0"/>
      </x:right>
      <x:top style="thin">
        <x:color rgb="FFBFCBD0"/>
      </x:top>
      <x:bottom style="thin">
        <x:color rgb="FFBFCBD0"/>
      </x:bottom>
    </x:border>
    <x:border>
      <x:bottom style="thin">
        <x:color rgb="FFDDE5E8"/>
      </x:bottom>
    </x:border>
    <x:border>
      <x:top style="thin">
        <x:color rgb="FFDDE5E8"/>
      </x:top>
      <x:bottom style="thin">
        <x:color rgb="FFDDE5E8"/>
      </x:bottom>
    </x:border>
    <x:border>
      <x:top style="thin">
        <x:color rgb="FFDDE5E8"/>
      </x:top>
      <x:bottom style="thin">
        <x:color rgb="FFBFCBD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c353dfb5b4aee" /><Relationship Type="http://schemas.openxmlformats.org/officeDocument/2006/relationships/theme" Target="/xl/theme/theme1.xml" Id="R4124a8065db94f98" /><Relationship Type="http://schemas.openxmlformats.org/officeDocument/2006/relationships/sharedStrings" Target="/xl/sharedStrings.xml" Id="R0aae1e7470744ab1" /><Relationship Type="http://schemas.openxmlformats.org/officeDocument/2006/relationships/worksheet" Target="/xl/worksheets/sheet1.xml" Id="Rcf2b80b2fff74808" /><Relationship Type="http://schemas.openxmlformats.org/officeDocument/2006/relationships/worksheet" Target="/xl/worksheets/sheet2.xml" Id="Rb7d0d644a499460b" /><Relationship Type="http://schemas.openxmlformats.org/officeDocument/2006/relationships/worksheet" Target="/xl/worksheets/sheet3.xml" Id="Rc53d73fddf0e47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7" hidden="0" customWidth="1"/>
    <x:col min="4" max="4" width="46" hidden="0" customWidth="1"/>
    <x:col min="5" max="5" width="36" hidden="0" customWidth="1"/>
    <x:col min="6" max="6" width="30" hidden="0" customWidth="1"/>
    <x:col min="7" max="7" width="40" hidden="0" customWidth="1"/>
    <x:col min="8" max="8" width="43" hidden="0" customWidth="1"/>
    <x:col min="9" max="9" width="24" hidden="0" customWidth="1"/>
    <x:col min="10" max="10" width="48" hidden="0" customWidth="1"/>
    <x:col min="11" max="11" width="48" hidden="0" customWidth="1"/>
    <x:col min="12" max="12" width="13" hidden="0" customWidth="1"/>
  </x:cols>
  <x:sheetData>
    <x:row r="1" ht="28" customHeight="1">
      <x:c r="A1" s="4" t="str">
        <x:v>问题四图表核对表</x:v>
      </x:c>
      <x:c r="B1" s="4" t="str">
        <x:v>问题四图表核对表</x:v>
      </x:c>
      <x:c r="C1" s="4" t="str">
        <x:v>问题四图表核对表</x:v>
      </x:c>
      <x:c r="D1" s="4" t="str">
        <x:v>问题四图表核对表</x:v>
      </x:c>
      <x:c r="E1" s="4" t="str">
        <x:v>问题四图表核对表</x:v>
      </x:c>
      <x:c r="F1" s="4" t="str">
        <x:v>问题四图表核对表</x:v>
      </x:c>
      <x:c r="G1" s="4" t="str">
        <x:v>问题四图表核对表</x:v>
      </x:c>
      <x:c r="H1" s="4" t="str">
        <x:v>问题四图表核对表</x:v>
      </x:c>
      <x:c r="I1" s="4" t="str">
        <x:v>问题四图表核对表</x:v>
      </x:c>
      <x:c r="J1" s="4" t="str">
        <x:v>问题四图表核对表</x:v>
      </x:c>
      <x:c r="K1" s="4" t="str">
        <x:v>问题四图表核对表</x:v>
      </x:c>
      <x:c r="L1" s="4" t="str">
        <x:v>问题四图表核对表</x:v>
      </x:c>
    </x:row>
    <x:row r="2" ht="30" customHeight="1">
      <x:c r="A2" s="9" t="str">
        <x:v>数据来源统一为代码/第四问代码/第四问.py；附件图片只作为Nature/Science风格版式参考，不作为数值来源。</x:v>
      </x:c>
      <x:c r="B2" s="9" t="str">
        <x:v>数据来源统一为代码/第四问代码/第四问.py；附件图片只作为Nature/Science风格版式参考，不作为数值来源。</x:v>
      </x:c>
      <x:c r="C2" s="9" t="str">
        <x:v>数据来源统一为代码/第四问代码/第四问.py；附件图片只作为Nature/Science风格版式参考，不作为数值来源。</x:v>
      </x:c>
      <x:c r="D2" s="9" t="str">
        <x:v>数据来源统一为代码/第四问代码/第四问.py；附件图片只作为Nature/Science风格版式参考，不作为数值来源。</x:v>
      </x:c>
      <x:c r="E2" s="9" t="str">
        <x:v>数据来源统一为代码/第四问代码/第四问.py；附件图片只作为Nature/Science风格版式参考，不作为数值来源。</x:v>
      </x:c>
      <x:c r="F2" s="9" t="str">
        <x:v>数据来源统一为代码/第四问代码/第四问.py；附件图片只作为Nature/Science风格版式参考，不作为数值来源。</x:v>
      </x:c>
      <x:c r="G2" s="9" t="str">
        <x:v>数据来源统一为代码/第四问代码/第四问.py；附件图片只作为Nature/Science风格版式参考，不作为数值来源。</x:v>
      </x:c>
      <x:c r="H2" s="9" t="str">
        <x:v>数据来源统一为代码/第四问代码/第四问.py；附件图片只作为Nature/Science风格版式参考，不作为数值来源。</x:v>
      </x:c>
      <x:c r="I2" s="9" t="str">
        <x:v>数据来源统一为代码/第四问代码/第四问.py；附件图片只作为Nature/Science风格版式参考，不作为数值来源。</x:v>
      </x:c>
      <x:c r="J2" s="9" t="str">
        <x:v>数据来源统一为代码/第四问代码/第四问.py；附件图片只作为Nature/Science风格版式参考，不作为数值来源。</x:v>
      </x:c>
      <x:c r="K2" s="9" t="str">
        <x:v>数据来源统一为代码/第四问代码/第四问.py；附件图片只作为Nature/Science风格版式参考，不作为数值来源。</x:v>
      </x:c>
      <x:c r="L2" s="9" t="str">
        <x:v>数据来源统一为代码/第四问代码/第四问.py；附件图片只作为Nature/Science风格版式参考，不作为数值来源。</x:v>
      </x:c>
    </x:row>
    <x:row r="4" ht="22" customHeight="1">
      <x:c r="A4" s="13" t="str">
        <x:v>逐图检查</x:v>
      </x:c>
      <x:c r="B4" s="13" t="str">
        <x:v>逐图检查</x:v>
      </x:c>
      <x:c r="C4" s="13" t="str">
        <x:v>逐图检查</x:v>
      </x:c>
      <x:c r="D4" s="13" t="str">
        <x:v>逐图检查</x:v>
      </x:c>
      <x:c r="E4" s="13" t="str">
        <x:v>逐图检查</x:v>
      </x:c>
      <x:c r="F4" s="13" t="str">
        <x:v>逐图检查</x:v>
      </x:c>
      <x:c r="G4" s="13" t="str">
        <x:v>逐图检查</x:v>
      </x:c>
      <x:c r="H4" s="13" t="str">
        <x:v>逐图检查</x:v>
      </x:c>
      <x:c r="I4" s="13" t="str">
        <x:v>逐图检查</x:v>
      </x:c>
      <x:c r="J4" s="13" t="str">
        <x:v>逐图检查</x:v>
      </x:c>
      <x:c r="K4" s="13" t="str">
        <x:v>逐图检查</x:v>
      </x:c>
      <x:c r="L4" s="13" t="str">
        <x:v>逐图检查</x:v>
      </x:c>
    </x:row>
    <x:row r="5" ht="32" customHeight="1">
      <x:c r="A5" s="19" t="str">
        <x:v>图编号</x:v>
      </x:c>
      <x:c r="B5" s="19" t="str">
        <x:v>文件基名</x:v>
      </x:c>
      <x:c r="C5" s="19" t="str">
        <x:v>图表用途</x:v>
      </x:c>
      <x:c r="D5" s="19" t="str">
        <x:v>数据来源</x:v>
      </x:c>
      <x:c r="E5" s="19" t="str">
        <x:v>横坐标名称</x:v>
      </x:c>
      <x:c r="F5" s="19" t="str">
        <x:v>纵坐标名称</x:v>
      </x:c>
      <x:c r="G5" s="19" t="str">
        <x:v>图例</x:v>
      </x:c>
      <x:c r="H5" s="19" t="str">
        <x:v>标注</x:v>
      </x:c>
      <x:c r="I5" s="19" t="str">
        <x:v>数值核对</x:v>
      </x:c>
      <x:c r="J5" s="19" t="str">
        <x:v>PNG</x:v>
      </x:c>
      <x:c r="K5" s="19" t="str">
        <x:v>SVG</x:v>
      </x:c>
      <x:c r="L5" s="19" t="str">
        <x:v>核对结果</x:v>
      </x:c>
    </x:row>
    <x:row r="6">
      <x:c r="A6" s="33" t="str">
        <x:v>图4-1</x:v>
      </x:c>
      <x:c r="B6" s="27" t="str">
        <x:v>第四问_图4-1_物理模型与能量路径</x:v>
      </x:c>
      <x:c r="C6" s="27" t="str">
        <x:v>物理模型与能量路径</x:v>
      </x:c>
      <x:c r="D6" s="27" t="str">
        <x:v>代码/第四问代码/第四问.py 的 G1 模型、基准优化结果（a=0 m）</x:v>
      </x:c>
      <x:c r="E6" s="27" t="str">
        <x:v>无（物理示意图）</x:v>
      </x:c>
      <x:c r="F6" s="27" t="str">
        <x:v>无（物理示意图）</x:v>
      </x:c>
      <x:c r="G6" s="27" t="str">
        <x:v>浮子、振子、直线取能阻尼器、旋转取能阻尼器、波浪激励</x:v>
      </x:c>
      <x:c r="H6" s="27" t="str">
        <x:v>直线最优阻尼、旋转最优阻尼、阻尼上限约束、总平均输出功率</x:v>
      </x:c>
      <x:c r="I6" s="27" t="str">
        <x:v>关键数值与代码快照一致</x:v>
      </x:c>
      <x:c r="J6" s="27" t="str">
        <x:v>结果图像/第四问图像/第四问_图4-1_物理模型与能量路径.png</x:v>
      </x:c>
      <x:c r="K6" s="27" t="str">
        <x:v>结果图像/第四问图像/第四问_图4-1_物理模型与能量路径.svg</x:v>
      </x:c>
      <x:c r="L6" s="30" t="str">
        <x:v>通过</x:v>
      </x:c>
    </x:row>
    <x:row r="7">
      <x:c r="A7" s="34" t="str">
        <x:v>图4-2</x:v>
      </x:c>
      <x:c r="B7" s="28" t="str">
        <x:v>第四问_图4-2_两通道阻尼优化曲线</x:v>
      </x:c>
      <x:c r="C7" s="28" t="str">
        <x:v>两通道阻尼系数与周期平均输出功率</x:v>
      </x:c>
      <x:c r="D7" s="28" t="str">
        <x:v>代码/第四问代码/第四问.py：Reduction.power、optimize_design（a=0 m，阻尼上限=100000）</x:v>
      </x:c>
      <x:c r="E7" s="28" t="str">
        <x:v>(a) 直线阻尼系数 c_z（牛·秒/米）；(b) 旋转阻尼系数 c_θ（牛·米·秒）</x:v>
      </x:c>
      <x:c r="F7" s="28" t="str">
        <x:v>周期平均输出功率（瓦）</x:v>
      </x:c>
      <x:c r="G7" s="28" t="str">
        <x:v>周期平均输出功率、闭式最优/约束下最优、阻尼上限</x:v>
      </x:c>
      <x:c r="H7" s="28" t="str">
        <x:v>闭式最优点、旋转通道受阻尼上限约束</x:v>
      </x:c>
      <x:c r="I7" s="28" t="str">
        <x:v>关键数值与代码快照一致</x:v>
      </x:c>
      <x:c r="J7" s="28" t="str">
        <x:v>结果图像/第四问图像/第四问_图4-2_两通道阻尼优化曲线.png</x:v>
      </x:c>
      <x:c r="K7" s="28" t="str">
        <x:v>结果图像/第四问图像/第四问_图4-2_两通道阻尼优化曲线.svg</x:v>
      </x:c>
      <x:c r="L7" s="31" t="str">
        <x:v>通过</x:v>
      </x:c>
    </x:row>
    <x:row r="8">
      <x:c r="A8" s="34" t="str">
        <x:v>图4-3</x:v>
      </x:c>
      <x:c r="B8" s="28" t="str">
        <x:v>第四问_图4-3_联合阻尼优化图</x:v>
      </x:c>
      <x:c r="C8" s="28" t="str">
        <x:v>联合阻尼系数与总平均输出功率</x:v>
      </x:c>
      <x:c r="D8" s="28" t="str">
        <x:v>代码/第四问代码/第四问.py：total_power、separability_check（解析式同源；21×21仅作图示）</x:v>
      </x:c>
      <x:c r="E8" s="28" t="str">
        <x:v>直线阻尼系数 c_z（牛·秒/米）</x:v>
      </x:c>
      <x:c r="F8" s="28" t="str">
        <x:v>旋转阻尼系数 c_θ（牛·米·秒）</x:v>
      </x:c>
      <x:c r="G8" s="28" t="str">
        <x:v>解析联合最优、21×21网格最大点</x:v>
      </x:c>
      <x:c r="H8" s="28" t="str">
        <x:v>联合最优坐标、白色等功率线、21×21网格复核点</x:v>
      </x:c>
      <x:c r="I8" s="28" t="str">
        <x:v>关键数值与代码快照一致</x:v>
      </x:c>
      <x:c r="J8" s="28" t="str">
        <x:v>结果图像/第四问图像/第四问_图4-3_联合阻尼优化图.png</x:v>
      </x:c>
      <x:c r="K8" s="28" t="str">
        <x:v>结果图像/第四问图像/第四问_图4-3_联合阻尼优化图.svg</x:v>
      </x:c>
      <x:c r="L8" s="31" t="str">
        <x:v>通过</x:v>
      </x:c>
    </x:row>
    <x:row r="9">
      <x:c r="A9" s="34" t="str">
        <x:v>图4-4</x:v>
      </x:c>
      <x:c r="B9" s="28" t="str">
        <x:v>第四问_图4-4_频域能量收支</x:v>
      </x:c>
      <x:c r="C9" s="28" t="str">
        <x:v>频域能量收支</x:v>
      </x:c>
      <x:c r="D9" s="28" t="str">
        <x:v>代码/第四问代码/第四问.py：energy_balance（基准最优阻尼）</x:v>
      </x:c>
      <x:c r="E9" s="28" t="str">
        <x:v>能量通道</x:v>
      </x:c>
      <x:c r="F9" s="28" t="str">
        <x:v>平均功率（瓦）</x:v>
      </x:c>
      <x:c r="G9" s="28" t="str">
        <x:v>波浪输入功率、兴波耗散功率、取能阻尼器耗散功率</x:v>
      </x:c>
      <x:c r="H9" s="28" t="str">
        <x:v>各柱顶标注代码计算值；合计满足输入=兴波耗散+取能阻尼器耗散</x:v>
      </x:c>
      <x:c r="I9" s="28" t="str">
        <x:v>关键数值与代码快照一致</x:v>
      </x:c>
      <x:c r="J9" s="28" t="str">
        <x:v>结果图像/第四问图像/第四问_图4-4_频域能量收支.png</x:v>
      </x:c>
      <x:c r="K9" s="28" t="str">
        <x:v>结果图像/第四问图像/第四问_图4-4_频域能量收支.svg</x:v>
      </x:c>
      <x:c r="L9" s="31" t="str">
        <x:v>通过</x:v>
      </x:c>
    </x:row>
    <x:row r="10">
      <x:c r="A10" s="34" t="str">
        <x:v>图4-5</x:v>
      </x:c>
      <x:c r="B10" s="28" t="str">
        <x:v>第四问_图4-5_关键参数灵敏度</x:v>
      </x:c>
      <x:c r="C10" s="28" t="str">
        <x:v>关键参数±10%灵敏度</x:v>
      </x:c>
      <x:c r="D10" s="28" t="str">
        <x:v>代码/第四问代码/第四问.py：sensitivity_cases、normalized_sensitivity</x:v>
      </x:c>
      <x:c r="E10" s="28" t="str">
        <x:v>总功率归一化灵敏度 S_P</x:v>
      </x:c>
      <x:c r="F10" s="28" t="str">
        <x:v>单因素扰动参数</x:v>
      </x:c>
      <x:c r="G10" s="28" t="str">
        <x:v>功率随参数增加而上升、功率随参数增加而下降</x:v>
      </x:c>
      <x:c r="H10" s="28" t="str">
        <x:v>条末标注中心差分灵敏度；按绝对值从大到小排序</x:v>
      </x:c>
      <x:c r="I10" s="28" t="str">
        <x:v>关键数值与代码快照一致</x:v>
      </x:c>
      <x:c r="J10" s="28" t="str">
        <x:v>结果图像/第四问图像/第四问_图4-5_关键参数灵敏度.png</x:v>
      </x:c>
      <x:c r="K10" s="28" t="str">
        <x:v>结果图像/第四问图像/第四问_图4-5_关键参数灵敏度.svg</x:v>
      </x:c>
      <x:c r="L10" s="31" t="str">
        <x:v>通过</x:v>
      </x:c>
    </x:row>
    <x:row r="11">
      <x:c r="A11" s="34" t="str">
        <x:v>图4-6</x:v>
      </x:c>
      <x:c r="B11" s="28" t="str">
        <x:v>第四问_图4-6_安装参数与阻尼上限情景</x:v>
      </x:c>
      <x:c r="C11" s="28" t="str">
        <x:v>安装参数与阻尼上限情景分析</x:v>
      </x:c>
      <x:c r="D11" s="28" t="str">
        <x:v>代码/第四问代码/第四问.py：print_scenarios、scenario_design</x:v>
      </x:c>
      <x:c r="E11" s="28" t="str">
        <x:v>(a)(b) 安装参数 a（米）；(c)(d) 阻尼上限</x:v>
      </x:c>
      <x:c r="F11" s="28" t="str">
        <x:v>总平均输出功率（瓦）或最优阻尼系数</x:v>
      </x:c>
      <x:c r="G11" s="28" t="str">
        <x:v>最大总平均功率、直线最优阻尼、旋转最优阻尼</x:v>
      </x:c>
      <x:c r="H11" s="28" t="str">
        <x:v>四个子图分别对应功率和最优阻尼对安装参数/阻尼上限的响应</x:v>
      </x:c>
      <x:c r="I11" s="28" t="str">
        <x:v>关键数值与代码快照一致</x:v>
      </x:c>
      <x:c r="J11" s="28" t="str">
        <x:v>结果图像/第四问图像/第四问_图4-6_安装参数与阻尼上限情景.png</x:v>
      </x:c>
      <x:c r="K11" s="28" t="str">
        <x:v>结果图像/第四问图像/第四问_图4-6_安装参数与阻尼上限情景.svg</x:v>
      </x:c>
      <x:c r="L11" s="31" t="str">
        <x:v>通过</x:v>
      </x:c>
    </x:row>
    <x:row r="12">
      <x:c r="A12" s="35" t="str">
        <x:v>图4-7</x:v>
      </x:c>
      <x:c r="B12" s="29" t="str">
        <x:v>第四问_图4-7_频域时域功率复核</x:v>
      </x:c>
      <x:c r="C12" s="29" t="str">
        <x:v>频域与高精度时域功率复核</x:v>
      </x:c>
      <x:c r="D12" s="29" t="str">
        <x:v>代码/第四问代码/第四问.py：time_domain_power、run_time_check</x:v>
      </x:c>
      <x:c r="E12" s="29" t="str">
        <x:v>校验通道</x:v>
      </x:c>
      <x:c r="F12" s="29" t="str">
        <x:v>平均输出功率（瓦）</x:v>
      </x:c>
      <x:c r="G12" s="29" t="str">
        <x:v>频域稳态功率、高精度时域平均功率</x:v>
      </x:c>
      <x:c r="H12" s="29" t="str">
        <x:v>柱顶标注频域/时域平均功率；总功率相对误差用于检验二</x:v>
      </x:c>
      <x:c r="I12" s="29" t="str">
        <x:v>关键数值与代码快照一致</x:v>
      </x:c>
      <x:c r="J12" s="29" t="str">
        <x:v>结果图像/第四问图像/第四问_图4-7_频域时域功率复核.png</x:v>
      </x:c>
      <x:c r="K12" s="29" t="str">
        <x:v>结果图像/第四问图像/第四问_图4-7_频域时域功率复核.svg</x:v>
      </x:c>
      <x:c r="L12" s="32" t="str">
        <x:v>通过</x:v>
      </x:c>
    </x:row>
  </x:sheetData>
  <x:mergeCells>
    <x:mergeCell ref="A1:L1"/>
    <x:mergeCell ref="A2:L2"/>
    <x:mergeCell ref="A4:L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20" hidden="0" customWidth="1"/>
    <x:col min="4" max="4" width="20" hidden="0" customWidth="1"/>
    <x:col min="5" max="5" width="17" hidden="0" customWidth="1"/>
    <x:col min="6" max="6" width="16" hidden="0" customWidth="1"/>
    <x:col min="7" max="7" width="12" hidden="0" customWidth="1"/>
  </x:cols>
  <x:sheetData>
    <x:row r="1" ht="28" customHeight="1">
      <x:c r="A1" s="4" t="str">
        <x:v>图表关键数值核对</x:v>
      </x:c>
      <x:c r="B1" s="4" t="str">
        <x:v>图表关键数值核对</x:v>
      </x:c>
      <x:c r="C1" s="4" t="str">
        <x:v>图表关键数值核对</x:v>
      </x:c>
      <x:c r="D1" s="4" t="str">
        <x:v>图表关键数值核对</x:v>
      </x:c>
      <x:c r="E1" s="4" t="str">
        <x:v>图表关键数值核对</x:v>
      </x:c>
      <x:c r="F1" s="4" t="str">
        <x:v>图表关键数值核对</x:v>
      </x:c>
      <x:c r="G1" s="4" t="str">
        <x:v>图表关键数值核对</x:v>
      </x:c>
    </x:row>
    <x:row r="2" ht="30" customHeight="1">
      <x:c r="A2" s="9" t="str">
        <x:v>代码值与图表生成值来自同一JSON快照；绝对差用于检查是否发生手工改值或四舍五入前的数据漂移。</x:v>
      </x:c>
      <x:c r="B2" s="9" t="str">
        <x:v>代码值与图表生成值来自同一JSON快照；绝对差用于检查是否发生手工改值或四舍五入前的数据漂移。</x:v>
      </x:c>
      <x:c r="C2" s="9" t="str">
        <x:v>代码值与图表生成值来自同一JSON快照；绝对差用于检查是否发生手工改值或四舍五入前的数据漂移。</x:v>
      </x:c>
      <x:c r="D2" s="9" t="str">
        <x:v>代码值与图表生成值来自同一JSON快照；绝对差用于检查是否发生手工改值或四舍五入前的数据漂移。</x:v>
      </x:c>
      <x:c r="E2" s="9" t="str">
        <x:v>代码值与图表生成值来自同一JSON快照；绝对差用于检查是否发生手工改值或四舍五入前的数据漂移。</x:v>
      </x:c>
      <x:c r="F2" s="9" t="str">
        <x:v>代码值与图表生成值来自同一JSON快照；绝对差用于检查是否发生手工改值或四舍五入前的数据漂移。</x:v>
      </x:c>
      <x:c r="G2" s="9" t="str">
        <x:v>代码值与图表生成值来自同一JSON快照；绝对差用于检查是否发生手工改值或四舍五入前的数据漂移。</x:v>
      </x:c>
    </x:row>
    <x:row r="4" ht="22" customHeight="1">
      <x:c r="A4" s="13" t="str">
        <x:v>关键标注值</x:v>
      </x:c>
      <x:c r="B4" s="13" t="str">
        <x:v>关键标注值</x:v>
      </x:c>
      <x:c r="C4" s="13" t="str">
        <x:v>关键标注值</x:v>
      </x:c>
      <x:c r="D4" s="13" t="str">
        <x:v>关键标注值</x:v>
      </x:c>
      <x:c r="E4" s="13" t="str">
        <x:v>关键标注值</x:v>
      </x:c>
      <x:c r="F4" s="13" t="str">
        <x:v>关键标注值</x:v>
      </x:c>
      <x:c r="G4" s="13" t="str">
        <x:v>关键标注值</x:v>
      </x:c>
    </x:row>
    <x:row r="5" ht="32" customHeight="1">
      <x:c r="A5" s="19" t="str">
        <x:v>图编号</x:v>
      </x:c>
      <x:c r="B5" s="19" t="str">
        <x:v>指标</x:v>
      </x:c>
      <x:c r="C5" s="19" t="str">
        <x:v>代码完整值</x:v>
      </x:c>
      <x:c r="D5" s="19" t="str">
        <x:v>图表使用值</x:v>
      </x:c>
      <x:c r="E5" s="19" t="str">
        <x:v>绝对差</x:v>
      </x:c>
      <x:c r="F5" s="19" t="str">
        <x:v>核对方法</x:v>
      </x:c>
      <x:c r="G5" s="19" t="str">
        <x:v>结论</x:v>
      </x:c>
    </x:row>
    <x:row r="6">
      <x:c r="A6" s="27" t="str">
        <x:v>图4-1</x:v>
      </x:c>
      <x:c r="B6" s="27" t="str">
        <x:v>直线最优阻尼（牛·秒/米）</x:v>
      </x:c>
      <x:c r="C6" s="36" t="n">
        <x:v>59152.91607038817</x:v>
      </x:c>
      <x:c r="D6" s="36" t="n">
        <x:v>59152.91607038817</x:v>
      </x:c>
      <x:c r="E6" s="36" t="n">
        <x:f>ABS(C6-D6)</x:f>
        <x:v>0</x:v>
      </x:c>
      <x:c r="F6" s="27" t="str">
        <x:v>同源生成</x:v>
      </x:c>
      <x:c r="G6" s="30" t="str">
        <x:f>IF(E6&lt;1E-10,"一致","需关注")</x:f>
        <x:v>一致</x:v>
      </x:c>
    </x:row>
    <x:row r="7">
      <x:c r="A7" s="28" t="str">
        <x:v>图4-1</x:v>
      </x:c>
      <x:c r="B7" s="28" t="str">
        <x:v>旋转最优阻尼（牛·米·秒）</x:v>
      </x:c>
      <x:c r="C7" s="37" t="n">
        <x:v>100000</x:v>
      </x:c>
      <x:c r="D7" s="37" t="n">
        <x:v>100000</x:v>
      </x:c>
      <x:c r="E7" s="37" t="n">
        <x:f>ABS(C7-D7)</x:f>
        <x:v>0</x:v>
      </x:c>
      <x:c r="F7" s="28" t="str">
        <x:v>同源生成</x:v>
      </x:c>
      <x:c r="G7" s="31" t="str">
        <x:f>IF(E7&lt;1E-10,"一致","需关注")</x:f>
        <x:v>一致</x:v>
      </x:c>
    </x:row>
    <x:row r="8">
      <x:c r="A8" s="28" t="str">
        <x:v>图4-1</x:v>
      </x:c>
      <x:c r="B8" s="28" t="str">
        <x:v>总平均输出功率（瓦）</x:v>
      </x:c>
      <x:c r="C8" s="37" t="n">
        <x:v>318.53519934200824</x:v>
      </x:c>
      <x:c r="D8" s="37" t="n">
        <x:v>318.53519934200824</x:v>
      </x:c>
      <x:c r="E8" s="37" t="n">
        <x:f>ABS(C8-D8)</x:f>
        <x:v>0</x:v>
      </x:c>
      <x:c r="F8" s="28" t="str">
        <x:v>同源生成</x:v>
      </x:c>
      <x:c r="G8" s="31" t="str">
        <x:f>IF(E8&lt;1E-10,"一致","需关注")</x:f>
        <x:v>一致</x:v>
      </x:c>
    </x:row>
    <x:row r="9">
      <x:c r="A9" s="28" t="str">
        <x:v>图4-2</x:v>
      </x:c>
      <x:c r="B9" s="28" t="str">
        <x:v>直线闭式最优阻尼（牛·秒/米）</x:v>
      </x:c>
      <x:c r="C9" s="37" t="n">
        <x:v>59152.91607038817</x:v>
      </x:c>
      <x:c r="D9" s="37" t="n">
        <x:v>59152.91607038817</x:v>
      </x:c>
      <x:c r="E9" s="37" t="n">
        <x:f>ABS(C9-D9)</x:f>
        <x:v>0</x:v>
      </x:c>
      <x:c r="F9" s="28" t="str">
        <x:v>同源生成</x:v>
      </x:c>
      <x:c r="G9" s="31" t="str">
        <x:f>IF(E9&lt;1E-10,"一致","需关注")</x:f>
        <x:v>一致</x:v>
      </x:c>
    </x:row>
    <x:row r="10">
      <x:c r="A10" s="28" t="str">
        <x:v>图4-2</x:v>
      </x:c>
      <x:c r="B10" s="28" t="str">
        <x:v>直线闭式功率（瓦）</x:v>
      </x:c>
      <x:c r="C10" s="37" t="n">
        <x:v>318.3364385481062</x:v>
      </x:c>
      <x:c r="D10" s="37" t="n">
        <x:v>318.3364385481062</x:v>
      </x:c>
      <x:c r="E10" s="37" t="n">
        <x:f>ABS(C10-D10)</x:f>
        <x:v>0</x:v>
      </x:c>
      <x:c r="F10" s="28" t="str">
        <x:v>同源生成</x:v>
      </x:c>
      <x:c r="G10" s="31" t="str">
        <x:f>IF(E10&lt;1E-10,"一致","需关注")</x:f>
        <x:v>一致</x:v>
      </x:c>
    </x:row>
    <x:row r="11">
      <x:c r="A11" s="28" t="str">
        <x:v>图4-2</x:v>
      </x:c>
      <x:c r="B11" s="28" t="str">
        <x:v>旋转约束下最优阻尼（牛·米·秒）</x:v>
      </x:c>
      <x:c r="C11" s="37" t="n">
        <x:v>100000</x:v>
      </x:c>
      <x:c r="D11" s="37" t="n">
        <x:v>100000</x:v>
      </x:c>
      <x:c r="E11" s="37" t="n">
        <x:f>ABS(C11-D11)</x:f>
        <x:v>0</x:v>
      </x:c>
      <x:c r="F11" s="28" t="str">
        <x:v>同源生成</x:v>
      </x:c>
      <x:c r="G11" s="31" t="str">
        <x:f>IF(E11&lt;1E-10,"一致","需关注")</x:f>
        <x:v>一致</x:v>
      </x:c>
    </x:row>
    <x:row r="12">
      <x:c r="A12" s="28" t="str">
        <x:v>图4-2</x:v>
      </x:c>
      <x:c r="B12" s="28" t="str">
        <x:v>旋转约束下功率（瓦）</x:v>
      </x:c>
      <x:c r="C12" s="37" t="n">
        <x:v>0.19876079390204363</x:v>
      </x:c>
      <x:c r="D12" s="37" t="n">
        <x:v>0.19876079390204363</x:v>
      </x:c>
      <x:c r="E12" s="37" t="n">
        <x:f>ABS(C12-D12)</x:f>
        <x:v>0</x:v>
      </x:c>
      <x:c r="F12" s="28" t="str">
        <x:v>同源生成</x:v>
      </x:c>
      <x:c r="G12" s="31" t="str">
        <x:f>IF(E12&lt;1E-10,"一致","需关注")</x:f>
        <x:v>一致</x:v>
      </x:c>
    </x:row>
    <x:row r="13">
      <x:c r="A13" s="28" t="str">
        <x:v>图4-3</x:v>
      </x:c>
      <x:c r="B13" s="28" t="str">
        <x:v>解析联合最优直线阻尼（牛·秒/米）</x:v>
      </x:c>
      <x:c r="C13" s="37" t="n">
        <x:v>59152.91607038817</x:v>
      </x:c>
      <x:c r="D13" s="37" t="n">
        <x:v>59152.91607038817</x:v>
      </x:c>
      <x:c r="E13" s="37" t="n">
        <x:f>ABS(C13-D13)</x:f>
        <x:v>0</x:v>
      </x:c>
      <x:c r="F13" s="28" t="str">
        <x:v>同源生成</x:v>
      </x:c>
      <x:c r="G13" s="31" t="str">
        <x:f>IF(E13&lt;1E-10,"一致","需关注")</x:f>
        <x:v>一致</x:v>
      </x:c>
    </x:row>
    <x:row r="14">
      <x:c r="A14" s="28" t="str">
        <x:v>图4-3</x:v>
      </x:c>
      <x:c r="B14" s="28" t="str">
        <x:v>解析联合最优旋转阻尼（牛·米·秒）</x:v>
      </x:c>
      <x:c r="C14" s="37" t="n">
        <x:v>100000</x:v>
      </x:c>
      <x:c r="D14" s="37" t="n">
        <x:v>100000</x:v>
      </x:c>
      <x:c r="E14" s="37" t="n">
        <x:f>ABS(C14-D14)</x:f>
        <x:v>0</x:v>
      </x:c>
      <x:c r="F14" s="28" t="str">
        <x:v>同源生成</x:v>
      </x:c>
      <x:c r="G14" s="31" t="str">
        <x:f>IF(E14&lt;1E-10,"一致","需关注")</x:f>
        <x:v>一致</x:v>
      </x:c>
    </x:row>
    <x:row r="15">
      <x:c r="A15" s="28" t="str">
        <x:v>图4-3</x:v>
      </x:c>
      <x:c r="B15" s="28" t="str">
        <x:v>解析联合最优总功率（瓦）</x:v>
      </x:c>
      <x:c r="C15" s="37" t="n">
        <x:v>318.53519934200824</x:v>
      </x:c>
      <x:c r="D15" s="37" t="n">
        <x:v>318.53519934200824</x:v>
      </x:c>
      <x:c r="E15" s="37" t="n">
        <x:f>ABS(C15-D15)</x:f>
        <x:v>0</x:v>
      </x:c>
      <x:c r="F15" s="28" t="str">
        <x:v>同源生成</x:v>
      </x:c>
      <x:c r="G15" s="31" t="str">
        <x:f>IF(E15&lt;1E-10,"一致","需关注")</x:f>
        <x:v>一致</x:v>
      </x:c>
    </x:row>
    <x:row r="16">
      <x:c r="A16" s="28" t="str">
        <x:v>图4-3</x:v>
      </x:c>
      <x:c r="B16" s="28" t="str">
        <x:v>21×21网格最大点总功率（瓦）</x:v>
      </x:c>
      <x:c r="C16" s="37" t="n">
        <x:v>318.51001280773625</x:v>
      </x:c>
      <x:c r="D16" s="37" t="n">
        <x:v>318.51001280773625</x:v>
      </x:c>
      <x:c r="E16" s="37" t="n">
        <x:f>ABS(C16-D16)</x:f>
        <x:v>0</x:v>
      </x:c>
      <x:c r="F16" s="28" t="str">
        <x:v>同源生成</x:v>
      </x:c>
      <x:c r="G16" s="31" t="str">
        <x:f>IF(E16&lt;1E-10,"一致","需关注")</x:f>
        <x:v>一致</x:v>
      </x:c>
    </x:row>
    <x:row r="17">
      <x:c r="A17" s="28" t="str">
        <x:v>图4-4</x:v>
      </x:c>
      <x:c r="B17" s="28" t="str">
        <x:v>合计波浪输入功率（瓦）</x:v>
      </x:c>
      <x:c r="C17" s="37" t="n">
        <x:v>903.8232966264826</x:v>
      </x:c>
      <x:c r="D17" s="37" t="n">
        <x:v>903.8232966264826</x:v>
      </x:c>
      <x:c r="E17" s="37" t="n">
        <x:f>ABS(C17-D17)</x:f>
        <x:v>0</x:v>
      </x:c>
      <x:c r="F17" s="28" t="str">
        <x:v>同源生成</x:v>
      </x:c>
      <x:c r="G17" s="31" t="str">
        <x:f>IF(E17&lt;1E-10,"一致","需关注")</x:f>
        <x:v>一致</x:v>
      </x:c>
    </x:row>
    <x:row r="18">
      <x:c r="A18" s="28" t="str">
        <x:v>图4-4</x:v>
      </x:c>
      <x:c r="B18" s="28" t="str">
        <x:v>合计兴波耗散功率（瓦）</x:v>
      </x:c>
      <x:c r="C18" s="37" t="n">
        <x:v>585.2880972844856</x:v>
      </x:c>
      <x:c r="D18" s="37" t="n">
        <x:v>585.2880972844856</x:v>
      </x:c>
      <x:c r="E18" s="37" t="n">
        <x:f>ABS(C18-D18)</x:f>
        <x:v>0</x:v>
      </x:c>
      <x:c r="F18" s="28" t="str">
        <x:v>同源生成</x:v>
      </x:c>
      <x:c r="G18" s="31" t="str">
        <x:f>IF(E18&lt;1E-10,"一致","需关注")</x:f>
        <x:v>一致</x:v>
      </x:c>
    </x:row>
    <x:row r="19">
      <x:c r="A19" s="28" t="str">
        <x:v>图4-4</x:v>
      </x:c>
      <x:c r="B19" s="28" t="str">
        <x:v>合计取能阻尼器耗散功率（瓦）</x:v>
      </x:c>
      <x:c r="C19" s="37" t="n">
        <x:v>318.53519934200773</x:v>
      </x:c>
      <x:c r="D19" s="37" t="n">
        <x:v>318.53519934200773</x:v>
      </x:c>
      <x:c r="E19" s="37" t="n">
        <x:f>ABS(C19-D19)</x:f>
        <x:v>0</x:v>
      </x:c>
      <x:c r="F19" s="28" t="str">
        <x:v>同源生成</x:v>
      </x:c>
      <x:c r="G19" s="31" t="str">
        <x:f>IF(E19&lt;1E-10,"一致","需关注")</x:f>
        <x:v>一致</x:v>
      </x:c>
    </x:row>
    <x:row r="20">
      <x:c r="A20" s="28" t="str">
        <x:v>图4-4</x:v>
      </x:c>
      <x:c r="B20" s="28" t="str">
        <x:v>合计相对残差</x:v>
      </x:c>
      <x:c r="C20" s="37" t="n">
        <x:v>1.1886622313003343e-14</x:v>
      </x:c>
      <x:c r="D20" s="37" t="n">
        <x:v>1.1886622313003343e-14</x:v>
      </x:c>
      <x:c r="E20" s="37" t="n">
        <x:f>ABS(C20-D20)</x:f>
        <x:v>0</x:v>
      </x:c>
      <x:c r="F20" s="28" t="str">
        <x:v>同源生成</x:v>
      </x:c>
      <x:c r="G20" s="31" t="str">
        <x:f>IF(E20&lt;1E-10,"一致","需关注")</x:f>
        <x:v>一致</x:v>
      </x:c>
    </x:row>
    <x:row r="21">
      <x:c r="A21" s="28" t="str">
        <x:v>图4-5</x:v>
      </x:c>
      <x:c r="B21" s="28" t="str">
        <x:v>浮子质量</x:v>
      </x:c>
      <x:c r="C21" s="37" t="n">
        <x:v>-9.051659775953528</x:v>
      </x:c>
      <x:c r="D21" s="37" t="n">
        <x:v>-9.051659775953528</x:v>
      </x:c>
      <x:c r="E21" s="37" t="n">
        <x:f>ABS(C21-D21)</x:f>
        <x:v>0</x:v>
      </x:c>
      <x:c r="F21" s="28" t="str">
        <x:v>同源生成</x:v>
      </x:c>
      <x:c r="G21" s="31" t="str">
        <x:f>IF(E21&lt;1E-10,"一致","需关注")</x:f>
        <x:v>一致</x:v>
      </x:c>
    </x:row>
    <x:row r="22">
      <x:c r="A22" s="28" t="str">
        <x:v>图4-5</x:v>
      </x:c>
      <x:c r="B22" s="28" t="str">
        <x:v>垂荡刚度</x:v>
      </x:c>
      <x:c r="C22" s="37" t="n">
        <x:v>7.15670377075737</x:v>
      </x:c>
      <x:c r="D22" s="37" t="n">
        <x:v>7.15670377075737</x:v>
      </x:c>
      <x:c r="E22" s="37" t="n">
        <x:f>ABS(C22-D22)</x:f>
        <x:v>0</x:v>
      </x:c>
      <x:c r="F22" s="28" t="str">
        <x:v>同源生成</x:v>
      </x:c>
      <x:c r="G22" s="31" t="str">
        <x:f>IF(E22&lt;1E-10,"一致","需关注")</x:f>
        <x:v>一致</x:v>
      </x:c>
    </x:row>
    <x:row r="23">
      <x:c r="A23" s="28" t="str">
        <x:v>图4-5</x:v>
      </x:c>
      <x:c r="B23" s="28" t="str">
        <x:v>振子质量</x:v>
      </x:c>
      <x:c r="C23" s="37" t="n">
        <x:v>-4.886040109423863</x:v>
      </x:c>
      <x:c r="D23" s="37" t="n">
        <x:v>-4.886040109423863</x:v>
      </x:c>
      <x:c r="E23" s="37" t="n">
        <x:f>ABS(C23-D23)</x:f>
        <x:v>0</x:v>
      </x:c>
      <x:c r="F23" s="28" t="str">
        <x:v>同源生成</x:v>
      </x:c>
      <x:c r="G23" s="31" t="str">
        <x:f>IF(E23&lt;1E-10,"一致","需关注")</x:f>
        <x:v>一致</x:v>
      </x:c>
    </x:row>
    <x:row r="24">
      <x:c r="A24" s="28" t="str">
        <x:v>图4-5</x:v>
      </x:c>
      <x:c r="B24" s="28" t="str">
        <x:v>附加质量</x:v>
      </x:c>
      <x:c r="C24" s="37" t="n">
        <x:v>-2.6482906599399616</x:v>
      </x:c>
      <x:c r="D24" s="37" t="n">
        <x:v>-2.6482906599399616</x:v>
      </x:c>
      <x:c r="E24" s="37" t="n">
        <x:f>ABS(C24-D24)</x:f>
        <x:v>0</x:v>
      </x:c>
      <x:c r="F24" s="28" t="str">
        <x:v>同源生成</x:v>
      </x:c>
      <x:c r="G24" s="31" t="str">
        <x:f>IF(E24&lt;1E-10,"一致","需关注")</x:f>
        <x:v>一致</x:v>
      </x:c>
    </x:row>
    <x:row r="25">
      <x:c r="A25" s="28" t="str">
        <x:v>图4-5</x:v>
      </x:c>
      <x:c r="B25" s="28" t="str">
        <x:v>波浪频率</x:v>
      </x:c>
      <x:c r="C25" s="37" t="n">
        <x:v>-0.2441726544743123</x:v>
      </x:c>
      <x:c r="D25" s="37" t="n">
        <x:v>-0.2441726544743123</x:v>
      </x:c>
      <x:c r="E25" s="37" t="n">
        <x:f>ABS(C25-D25)</x:f>
        <x:v>0</x:v>
      </x:c>
      <x:c r="F25" s="28" t="str">
        <x:v>同源生成</x:v>
      </x:c>
      <x:c r="G25" s="31" t="str">
        <x:f>IF(E25&lt;1E-10,"一致","需关注")</x:f>
        <x:v>一致</x:v>
      </x:c>
    </x:row>
    <x:row r="26">
      <x:c r="A26" s="28" t="str">
        <x:v>图4-6</x:v>
      </x:c>
      <x:c r="B26" s="28" t="str">
        <x:v>a=0米时总功率（瓦）</x:v>
      </x:c>
      <x:c r="C26" s="37" t="n">
        <x:v>318.53519934200824</x:v>
      </x:c>
      <x:c r="D26" s="37" t="n">
        <x:v>318.53519934200824</x:v>
      </x:c>
      <x:c r="E26" s="37" t="n">
        <x:f>ABS(C26-D26)</x:f>
        <x:v>0</x:v>
      </x:c>
      <x:c r="F26" s="28" t="str">
        <x:v>同源生成</x:v>
      </x:c>
      <x:c r="G26" s="31" t="str">
        <x:f>IF(E26&lt;1E-10,"一致","需关注")</x:f>
        <x:v>一致</x:v>
      </x:c>
    </x:row>
    <x:row r="27">
      <x:c r="A27" s="28" t="str">
        <x:v>图4-6</x:v>
      </x:c>
      <x:c r="B27" s="28" t="str">
        <x:v>a=1.2米时总功率（瓦）</x:v>
      </x:c>
      <x:c r="C27" s="37" t="n">
        <x:v>321.5952321465113</x:v>
      </x:c>
      <x:c r="D27" s="37" t="n">
        <x:v>321.5952321465113</x:v>
      </x:c>
      <x:c r="E27" s="37" t="n">
        <x:f>ABS(C27-D27)</x:f>
        <x:v>0</x:v>
      </x:c>
      <x:c r="F27" s="28" t="str">
        <x:v>同源生成</x:v>
      </x:c>
      <x:c r="G27" s="31" t="str">
        <x:f>IF(E27&lt;1E-10,"一致","需关注")</x:f>
        <x:v>一致</x:v>
      </x:c>
    </x:row>
    <x:row r="28">
      <x:c r="A28" s="28" t="str">
        <x:v>图4-6</x:v>
      </x:c>
      <x:c r="B28" s="28" t="str">
        <x:v>阻尼上限=50000时总功率（瓦）</x:v>
      </x:c>
      <x:c r="C28" s="37" t="n">
        <x:v>314.9893943788124</x:v>
      </x:c>
      <x:c r="D28" s="37" t="n">
        <x:v>314.9893943788124</x:v>
      </x:c>
      <x:c r="E28" s="37" t="n">
        <x:f>ABS(C28-D28)</x:f>
        <x:v>0</x:v>
      </x:c>
      <x:c r="F28" s="28" t="str">
        <x:v>同源生成</x:v>
      </x:c>
      <x:c r="G28" s="31" t="str">
        <x:f>IF(E28&lt;1E-10,"一致","需关注")</x:f>
        <x:v>一致</x:v>
      </x:c>
    </x:row>
    <x:row r="29">
      <x:c r="A29" s="28" t="str">
        <x:v>图4-6</x:v>
      </x:c>
      <x:c r="B29" s="28" t="str">
        <x:v>阻尼上限=150000时总功率（瓦）</x:v>
      </x:c>
      <x:c r="C29" s="37" t="n">
        <x:v>318.53863111331117</x:v>
      </x:c>
      <x:c r="D29" s="37" t="n">
        <x:v>318.53863111331117</x:v>
      </x:c>
      <x:c r="E29" s="37" t="n">
        <x:f>ABS(C29-D29)</x:f>
        <x:v>0</x:v>
      </x:c>
      <x:c r="F29" s="28" t="str">
        <x:v>同源生成</x:v>
      </x:c>
      <x:c r="G29" s="31" t="str">
        <x:f>IF(E29&lt;1E-10,"一致","需关注")</x:f>
        <x:v>一致</x:v>
      </x:c>
    </x:row>
    <x:row r="30">
      <x:c r="A30" s="28" t="str">
        <x:v>图4-7</x:v>
      </x:c>
      <x:c r="B30" s="28" t="str">
        <x:v>频域总功率（瓦）</x:v>
      </x:c>
      <x:c r="C30" s="37" t="n">
        <x:v>318.53519934200824</x:v>
      </x:c>
      <x:c r="D30" s="37" t="n">
        <x:v>318.53519934200824</x:v>
      </x:c>
      <x:c r="E30" s="37" t="n">
        <x:f>ABS(C30-D30)</x:f>
        <x:v>0</x:v>
      </x:c>
      <x:c r="F30" s="28" t="str">
        <x:v>同源生成</x:v>
      </x:c>
      <x:c r="G30" s="31" t="str">
        <x:f>IF(E30&lt;1E-10,"一致","需关注")</x:f>
        <x:v>一致</x:v>
      </x:c>
    </x:row>
    <x:row r="31">
      <x:c r="A31" s="28" t="str">
        <x:v>图4-7</x:v>
      </x:c>
      <x:c r="B31" s="28" t="str">
        <x:v>高精度时域总功率（瓦）</x:v>
      </x:c>
      <x:c r="C31" s="37" t="n">
        <x:v>318.5732577699367</x:v>
      </x:c>
      <x:c r="D31" s="37" t="n">
        <x:v>318.5732577699367</x:v>
      </x:c>
      <x:c r="E31" s="37" t="n">
        <x:f>ABS(C31-D31)</x:f>
        <x:v>0</x:v>
      </x:c>
      <x:c r="F31" s="28" t="str">
        <x:v>同源生成</x:v>
      </x:c>
      <x:c r="G31" s="31" t="str">
        <x:f>IF(E31&lt;1E-10,"一致","需关注")</x:f>
        <x:v>一致</x:v>
      </x:c>
    </x:row>
    <x:row r="32">
      <x:c r="A32" s="29" t="str">
        <x:v>图4-7</x:v>
      </x:c>
      <x:c r="B32" s="29" t="str">
        <x:v>总功率相对误差</x:v>
      </x:c>
      <x:c r="C32" s="38" t="n">
        <x:v>0.00011947950495596728</x:v>
      </x:c>
      <x:c r="D32" s="38" t="n">
        <x:v>0.00011947950495596728</x:v>
      </x:c>
      <x:c r="E32" s="38" t="n">
        <x:f>ABS(C32-D32)</x:f>
        <x:v>0</x:v>
      </x:c>
      <x:c r="F32" s="29" t="str">
        <x:v>同源生成</x:v>
      </x:c>
      <x:c r="G32" s="32" t="str">
        <x:f>IF(E32&lt;1E-10,"一致","需关注")</x:f>
        <x:v>一致</x:v>
      </x:c>
    </x:row>
  </x:sheetData>
  <x:mergeCells>
    <x:mergeCell ref="A1:G1"/>
    <x:mergeCell ref="A2:G2"/>
    <x:mergeCell ref="A4:G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2" hidden="0" customWidth="1"/>
    <x:col min="4" max="4" width="40" hidden="0" customWidth="1"/>
  </x:cols>
  <x:sheetData>
    <x:row r="1" ht="28" customHeight="1">
      <x:c r="A1" s="4" t="str">
        <x:v>图表规范核对</x:v>
      </x:c>
      <x:c r="B1" s="4" t="str">
        <x:v>图表规范核对</x:v>
      </x:c>
      <x:c r="C1" s="4" t="str">
        <x:v>图表规范核对</x:v>
      </x:c>
      <x:c r="D1" s="4" t="str">
        <x:v>图表规范核对</x:v>
      </x:c>
    </x:row>
    <x:row r="2" ht="30" customHeight="1">
      <x:c r="A2" s="9" t="str">
        <x:v>核对项目对应用户提出的图编号、数据来源、坐标名称、图例、标注、数值和文件格式要求。</x:v>
      </x:c>
      <x:c r="B2" s="9" t="str">
        <x:v>核对项目对应用户提出的图编号、数据来源、坐标名称、图例、标注、数值和文件格式要求。</x:v>
      </x:c>
      <x:c r="C2" s="9" t="str">
        <x:v>核对项目对应用户提出的图编号、数据来源、坐标名称、图例、标注、数值和文件格式要求。</x:v>
      </x:c>
      <x:c r="D2" s="9" t="str">
        <x:v>核对项目对应用户提出的图编号、数据来源、坐标名称、图例、标注、数值和文件格式要求。</x:v>
      </x:c>
    </x:row>
    <x:row r="4" ht="22" customHeight="1">
      <x:c r="A4" s="13" t="str">
        <x:v>版式与一致性检查</x:v>
      </x:c>
      <x:c r="B4" s="13" t="str">
        <x:v>版式与一致性检查</x:v>
      </x:c>
      <x:c r="C4" s="13" t="str">
        <x:v>版式与一致性检查</x:v>
      </x:c>
      <x:c r="D4" s="13" t="str">
        <x:v>版式与一致性检查</x:v>
      </x:c>
    </x:row>
    <x:row r="5" ht="32" customHeight="1">
      <x:c r="A5" s="19" t="str">
        <x:v>检查项</x:v>
      </x:c>
      <x:c r="B5" s="19" t="str">
        <x:v>要求</x:v>
      </x:c>
      <x:c r="C5" s="19" t="str">
        <x:v>结果</x:v>
      </x:c>
      <x:c r="D5" s="19" t="str">
        <x:v>核对依据</x:v>
      </x:c>
    </x:row>
    <x:row r="6">
      <x:c r="A6" s="27" t="str">
        <x:v>图编号</x:v>
      </x:c>
      <x:c r="B6" s="27" t="str">
        <x:v>图4-1至图4-7连续，文件基名一致</x:v>
      </x:c>
      <x:c r="C6" s="30" t="str">
        <x:v>通过</x:v>
      </x:c>
      <x:c r="D6" s="27" t="str">
        <x:v>逐图核对文件名与图表核对表</x:v>
      </x:c>
    </x:row>
    <x:row r="7">
      <x:c r="A7" s="28" t="str">
        <x:v>数据来源</x:v>
      </x:c>
      <x:c r="B7" s="28" t="str">
        <x:v>所有图均标注第四问代码和具体函数/结果</x:v>
      </x:c>
      <x:c r="C7" s="31" t="str">
        <x:v>通过</x:v>
      </x:c>
      <x:c r="D7" s="28" t="str">
        <x:v>图表核对表数据来源列</x:v>
      </x:c>
    </x:row>
    <x:row r="8">
      <x:c r="A8" s="28" t="str">
        <x:v>坐标名称</x:v>
      </x:c>
      <x:c r="B8" s="28" t="str">
        <x:v>有坐标轴的图均使用中文名称并带单位</x:v>
      </x:c>
      <x:c r="C8" s="31" t="str">
        <x:v>通过</x:v>
      </x:c>
      <x:c r="D8" s="28" t="str">
        <x:v>图4-2至图4-7</x:v>
      </x:c>
    </x:row>
    <x:row r="9">
      <x:c r="A9" s="28" t="str">
        <x:v>图例</x:v>
      </x:c>
      <x:c r="B9" s="28" t="str">
        <x:v>图例中文，置于绘图区外侧或上方，不遮挡数据</x:v>
      </x:c>
      <x:c r="C9" s="31" t="str">
        <x:v>通过</x:v>
      </x:c>
      <x:c r="D9" s="28" t="str">
        <x:v>统一采用中文全称</x:v>
      </x:c>
    </x:row>
    <x:row r="10">
      <x:c r="A10" s="28" t="str">
        <x:v>标注</x:v>
      </x:c>
      <x:c r="B10" s="28" t="str">
        <x:v>关键最优点、数值或能量收支说明可见且不压线</x:v>
      </x:c>
      <x:c r="C10" s="31" t="str">
        <x:v>通过</x:v>
      </x:c>
      <x:c r="D10" s="28" t="str">
        <x:v>图4-1至图4-7</x:v>
      </x:c>
    </x:row>
    <x:row r="11">
      <x:c r="A11" s="28" t="str">
        <x:v>数值</x:v>
      </x:c>
      <x:c r="B11" s="28" t="str">
        <x:v>关键标注值与代码快照绝对差小于1×10^-10</x:v>
      </x:c>
      <x:c r="C11" s="31" t="str">
        <x:v>通过</x:v>
      </x:c>
      <x:c r="D11" s="28" t="str">
        <x:v>数值核对表公式</x:v>
      </x:c>
    </x:row>
    <x:row r="12">
      <x:c r="A12" s="28" t="str">
        <x:v>曲线</x:v>
      </x:c>
      <x:c r="B12" s="28" t="str">
        <x:v>阻尼功率曲线使用解析表达式的平滑密集采样</x:v>
      </x:c>
      <x:c r="C12" s="31" t="str">
        <x:v>通过</x:v>
      </x:c>
      <x:c r="D12" s="28" t="str">
        <x:v>不人为添加视觉波动</x:v>
      </x:c>
    </x:row>
    <x:row r="13">
      <x:c r="A13" s="28" t="str">
        <x:v>标题</x:v>
      </x:c>
      <x:c r="B13" s="28" t="str">
        <x:v>图内不设置大标题，仅保留必要子图标识</x:v>
      </x:c>
      <x:c r="C13" s="31" t="str">
        <x:v>通过</x:v>
      </x:c>
      <x:c r="D13" s="28" t="str">
        <x:v>满足无标题要求</x:v>
      </x:c>
    </x:row>
    <x:row r="14">
      <x:c r="A14" s="29" t="str">
        <x:v>输出格式</x:v>
      </x:c>
      <x:c r="B14" s="29" t="str">
        <x:v>每张图单独输出PNG和SVG</x:v>
      </x:c>
      <x:c r="C14" s="32" t="str">
        <x:v>通过</x:v>
      </x:c>
      <x:c r="D14" s="29" t="str">
        <x:v>图4-1至图4-7共14个图像文件</x:v>
      </x:c>
    </x:row>
  </x:sheetData>
  <x:mergeCells>
    <x:mergeCell ref="A1:D1"/>
    <x:mergeCell ref="A2:D2"/>
    <x:mergeCell ref="A4:D4"/>
  </x:mergeCells>
  <x:pageMargins left="0.7" right="0.7" top="0.75" bottom="0.75" header="0.3" footer="0.3"/>
</x:worksheet>
</file>