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855c7f54c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优设计" sheetId="1" r:id="R2192f9b151044f36"/>
    <x:sheet xmlns:r="http://schemas.openxmlformats.org/officeDocument/2006/relationships" name="检验结果" sheetId="2" r:id="R49323f659e0f4436"/>
    <x:sheet xmlns:r="http://schemas.openxmlformats.org/officeDocument/2006/relationships" name="灵敏度明细" sheetId="3" r:id="R4464c244eba34dfc"/>
    <x:sheet xmlns:r="http://schemas.openxmlformats.org/officeDocument/2006/relationships" name="情景分析" sheetId="4" r:id="R46b4632f30a34b9e"/>
    <x:sheet xmlns:r="http://schemas.openxmlformats.org/officeDocument/2006/relationships" name="数据来源" sheetId="5" r:id="R6c8922a60549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00"/>
    <x:numFmt numFmtId="202" formatCode="#,##0"/>
    <x:numFmt numFmtId="203" formatCode="#,##0.0000"/>
    <x:numFmt numFmtId="204" formatCode="0.00E+00"/>
    <x:numFmt numFmtId="205" formatCode="#,##0.000000"/>
  </x:numFmts>
  <x:fonts count="10">
    <x:font>
      <x:sz val="11"/>
      <x:name val="Carlito"/>
    </x:font>
    <x:font>
      <x:b/>
      <x:sz val="14"/>
      <x:color rgb="FFFFFFFF"/>
      <x:name val="Carlito"/>
    </x:font>
    <x:font>
      <x:i/>
      <x:sz val="9"/>
      <x:color rgb="FF586A71"/>
      <x:name val="Carlito"/>
    </x:font>
    <x:font>
      <x:b/>
      <x:sz val="11"/>
      <x:color rgb="FF173D46"/>
      <x:name val="Carlito"/>
    </x:font>
    <x:font>
      <x:sz val="10"/>
      <x:color rgb="FF27343A"/>
      <x:name val="Carlito"/>
    </x:font>
    <x:font>
      <x:b/>
      <x:sz val="10"/>
      <x:color rgb="FF173D46"/>
      <x:name val="Carlito"/>
    </x:font>
    <x:font>
      <x:b/>
      <x:sz val="10"/>
      <x:color rgb="FFB24C3E"/>
      <x:name val="Carlito"/>
    </x:font>
    <x:font>
      <x:b/>
      <x:sz val="10"/>
      <x:color rgb="FFFFFFFF"/>
      <x:name val="Carlito"/>
    </x:font>
    <x:font>
      <x:sz val="9"/>
      <x:color rgb="FF173D46"/>
      <x:name val="Carlito"/>
    </x:font>
    <x:font>
      <x:b/>
      <x:sz val="10"/>
      <x:color rgb="FF247A5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4F7F8"/>
      </x:patternFill>
    </x:fill>
    <x:fill>
      <x:patternFill patternType="solid">
        <x:fgColor rgb="FFDDEFF2"/>
      </x:patternFill>
    </x:fill>
    <x:fill>
      <x:patternFill patternType="solid">
        <x:fgColor rgb="FF1F6F8B"/>
      </x:patternFill>
    </x:fill>
  </x:fills>
  <x:borders count="5">
    <x:border/>
    <x:border>
      <x:bottom style="thin">
        <x:color rgb="FFDDE5E8"/>
      </x:bottom>
    </x:border>
    <x:border>
      <x:top style="thin">
        <x:color rgb="FFDDE5E8"/>
      </x:top>
      <x:bottom style="thin">
        <x:color rgb="FFDDE5E8"/>
      </x:bottom>
    </x:border>
    <x:border>
      <x:top style="thin">
        <x:color rgb="FFDDE5E8"/>
      </x:top>
      <x:bottom style="thin">
        <x:color rgb="FFBFCBD0"/>
      </x:bottom>
    </x:border>
    <x:border>
      <x:left style="thin">
        <x:color rgb="FFBFCBD0"/>
      </x:left>
      <x:right style="thin">
        <x:color rgb="FFBFCBD0"/>
      </x:right>
      <x:top style="thin">
        <x:color rgb="FFBFCBD0"/>
      </x:top>
      <x:bottom style="thin">
        <x:color rgb="FFBFCBD0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vertical="center" wrapText="0"/>
    </x:xf>
    <x:xf numFmtId="0" fontId="5" fillId="0" borderId="2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201" fontId="4" fillId="0" borderId="2" xfId="0" applyNumberFormat="1" applyFont="1" applyFill="1" applyBorder="1" applyAlignment="1">
      <x:alignment vertical="center" wrapText="0"/>
    </x:xf>
    <x:xf numFmtId="202" fontId="4" fillId="0" borderId="3" xfId="0" applyNumberFormat="1" applyFont="1" applyFill="1" applyBorder="1" applyAlignment="1">
      <x:alignment vertical="center" wrapText="0"/>
    </x:xf>
    <x:xf numFmtId="0" fontId="6" fillId="0" borderId="2" xfId="0" applyNumberFormat="1" applyFont="1" applyFill="1" applyBorder="1" applyAlignment="1">
      <x:alignment vertical="center" wrapText="0"/>
    </x:xf>
    <x:xf numFmtId="203" fontId="4" fillId="0" borderId="1" xfId="0" applyNumberFormat="1" applyFont="1" applyFill="1" applyBorder="1" applyAlignment="1">
      <x:alignment vertical="center" wrapText="0"/>
    </x:xf>
    <x:xf numFmtId="203" fontId="4" fillId="0" borderId="2" xfId="0" applyNumberFormat="1" applyFont="1" applyFill="1" applyBorder="1" applyAlignment="1">
      <x:alignment vertical="center" wrapText="0"/>
    </x:xf>
    <x:xf numFmtId="201" fontId="4" fillId="0" borderId="3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horizont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203" fontId="4" fillId="0" borderId="3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  <x:xf numFmtId="204" fontId="4" fillId="0" borderId="1" xfId="0" applyNumberFormat="1" applyFont="1" applyFill="1" applyBorder="1" applyAlignment="1">
      <x:alignment vertical="center" wrapText="0"/>
    </x:xf>
    <x:xf numFmtId="204" fontId="4" fillId="0" borderId="3" xfId="0" applyNumberFormat="1" applyFont="1" applyFill="1" applyBorder="1" applyAlignment="1">
      <x:alignment vertical="center" wrapText="0"/>
    </x:xf>
    <x:xf numFmtId="0" fontId="6" fillId="0" borderId="3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4" fontId="4" fillId="0" borderId="2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2" xfId="0" applyNumberFormat="1" applyFont="1" applyFill="1" applyBorder="1" applyAlignment="1">
      <x:alignment horizontal="center" vertical="center" wrapText="0"/>
    </x:xf>
    <x:xf numFmtId="0" fontId="4" fillId="0" borderId="3" xfId="0" applyNumberFormat="1" applyFont="1" applyFill="1" applyBorder="1" applyAlignment="1">
      <x:alignment horizontal="center" vertical="center" wrapText="0"/>
    </x:xf>
    <x:xf numFmtId="0" fontId="9" fillId="0" borderId="1" xfId="0" applyNumberFormat="1" applyFont="1" applyFill="1" applyBorder="1" applyAlignment="1">
      <x:alignment horizontal="center" vertical="center" wrapText="0"/>
    </x:xf>
    <x:xf numFmtId="0" fontId="9" fillId="0" borderId="2" xfId="0" applyNumberFormat="1" applyFont="1" applyFill="1" applyBorder="1" applyAlignment="1">
      <x:alignment horizontal="center" vertical="center" wrapText="0"/>
    </x:xf>
    <x:xf numFmtId="0" fontId="9" fillId="0" borderId="3" xfId="0" applyNumberFormat="1" applyFont="1" applyFill="1" applyBorder="1" applyAlignment="1">
      <x:alignment horizontal="center" vertical="center" wrapText="0"/>
    </x:xf>
    <x:xf numFmtId="0" fontId="9" fillId="0" borderId="1" xfId="0" applyNumberFormat="1" applyFont="1" applyFill="1" applyBorder="1" applyAlignment="1">
      <x:alignment vertical="center" wrapText="0"/>
    </x:xf>
    <x:xf numFmtId="0" fontId="9" fillId="0" borderId="2" xfId="0" applyNumberFormat="1" applyFont="1" applyFill="1" applyBorder="1" applyAlignment="1">
      <x:alignment vertical="center" wrapText="0"/>
    </x:xf>
    <x:xf numFmtId="0" fontId="9" fillId="0" borderId="3" xfId="0" applyNumberFormat="1" applyFont="1" applyFill="1" applyBorder="1" applyAlignment="1">
      <x:alignment vertical="center" wrapText="0"/>
    </x:xf>
    <x:xf numFmtId="205" fontId="4" fillId="0" borderId="1" xfId="0" applyNumberFormat="1" applyFont="1" applyFill="1" applyBorder="1" applyAlignment="1">
      <x:alignment vertical="center" wrapText="1"/>
    </x:xf>
    <x:xf numFmtId="205" fontId="4" fillId="0" borderId="2" xfId="0" applyNumberFormat="1" applyFont="1" applyFill="1" applyBorder="1" applyAlignment="1">
      <x:alignment vertical="center" wrapText="1"/>
    </x:xf>
    <x:xf numFmtId="205" fontId="4" fillId="0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0"/>
    </x:xf>
    <x:xf numFmtId="200" fontId="4" fillId="0" borderId="3" xfId="0" applyNumberFormat="1" applyFont="1" applyFill="1" applyBorder="1" applyAlignment="1">
      <x:alignment vertical="center" wrapText="0"/>
    </x:xf>
    <x:xf numFmtId="205" fontId="4" fillId="0" borderId="1" xfId="0" applyNumberFormat="1" applyFont="1" applyFill="1" applyBorder="1" applyAlignment="1">
      <x:alignment vertical="center" wrapText="0"/>
    </x:xf>
    <x:xf numFmtId="205" fontId="4" fillId="0" borderId="2" xfId="0" applyNumberFormat="1" applyFont="1" applyFill="1" applyBorder="1" applyAlignment="1">
      <x:alignment vertical="center" wrapText="0"/>
    </x:xf>
    <x:xf numFmtId="205" fontId="4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bd538da7e4187" /><Relationship Type="http://schemas.openxmlformats.org/officeDocument/2006/relationships/theme" Target="/xl/theme/theme1.xml" Id="R8a39cf0047df4547" /><Relationship Type="http://schemas.openxmlformats.org/officeDocument/2006/relationships/sharedStrings" Target="/xl/sharedStrings.xml" Id="R5a91e9cdf88a4fb5" /><Relationship Type="http://schemas.openxmlformats.org/officeDocument/2006/relationships/worksheet" Target="/xl/worksheets/sheet1.xml" Id="R2192f9b151044f36" /><Relationship Type="http://schemas.openxmlformats.org/officeDocument/2006/relationships/worksheet" Target="/xl/worksheets/sheet2.xml" Id="R49323f659e0f4436" /><Relationship Type="http://schemas.openxmlformats.org/officeDocument/2006/relationships/worksheet" Target="/xl/worksheets/sheet3.xml" Id="R4464c244eba34dfc" /><Relationship Type="http://schemas.openxmlformats.org/officeDocument/2006/relationships/worksheet" Target="/xl/worksheets/sheet4.xml" Id="R46b4632f30a34b9e" /><Relationship Type="http://schemas.openxmlformats.org/officeDocument/2006/relationships/worksheet" Target="/xl/worksheets/sheet5.xml" Id="R6c8922a6054947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28" hidden="0" customWidth="1"/>
    <x:col min="5" max="5" width="24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28" customHeight="1">
      <x:c r="A1" s="4" t="str">
        <x:v>问题四结果表格（基准联合最优）</x:v>
      </x:c>
      <x:c r="B1" s="4" t="str">
        <x:v>问题四结果表格（基准联合最优）</x:v>
      </x:c>
      <x:c r="C1" s="4" t="str">
        <x:v>问题四结果表格（基准联合最优）</x:v>
      </x:c>
      <x:c r="D1" s="4" t="str">
        <x:v>问题四结果表格（基准联合最优）</x:v>
      </x:c>
      <x:c r="E1" s="4" t="str">
        <x:v>问题四结果表格（基准联合最优）</x:v>
      </x:c>
      <x:c r="F1" s="4" t="str">
        <x:v>问题四结果表格（基准联合最优）</x:v>
      </x:c>
      <x:c r="G1" s="4" t="str">
        <x:v>问题四结果表格（基准联合最优）</x:v>
      </x:c>
      <x:c r="H1" s="4" t="str">
        <x:v>问题四结果表格（基准联合最优）</x:v>
      </x:c>
    </x:row>
    <x:row r="2" ht="30" customHeight="1">
      <x:c r="A2" s="9" t="str">
        <x:v>数据来源：代码/第四问代码/第四问.py；代码内 Parameters 默认参数；安装参数 a=0 m；阻尼上限=100000。所有数值由代码默认参数重新计算得到。</x:v>
      </x:c>
      <x:c r="B2" s="9" t="str">
        <x:v>数据来源：代码/第四问代码/第四问.py；代码内 Parameters 默认参数；安装参数 a=0 m；阻尼上限=100000。所有数值由代码默认参数重新计算得到。</x:v>
      </x:c>
      <x:c r="C2" s="9" t="str">
        <x:v>数据来源：代码/第四问代码/第四问.py；代码内 Parameters 默认参数；安装参数 a=0 m；阻尼上限=100000。所有数值由代码默认参数重新计算得到。</x:v>
      </x:c>
      <x:c r="D2" s="9" t="str">
        <x:v>数据来源：代码/第四问代码/第四问.py；代码内 Parameters 默认参数；安装参数 a=0 m；阻尼上限=100000。所有数值由代码默认参数重新计算得到。</x:v>
      </x:c>
      <x:c r="E2" s="9" t="str">
        <x:v>数据来源：代码/第四问代码/第四问.py；代码内 Parameters 默认参数；安装参数 a=0 m；阻尼上限=100000。所有数值由代码默认参数重新计算得到。</x:v>
      </x:c>
      <x:c r="F2" s="9" t="str">
        <x:v>数据来源：代码/第四问代码/第四问.py；代码内 Parameters 默认参数；安装参数 a=0 m；阻尼上限=100000。所有数值由代码默认参数重新计算得到。</x:v>
      </x:c>
      <x:c r="G2" s="9" t="str">
        <x:v>数据来源：代码/第四问代码/第四问.py；代码内 Parameters 默认参数；安装参数 a=0 m；阻尼上限=100000。所有数值由代码默认参数重新计算得到。</x:v>
      </x:c>
      <x:c r="H2" s="9" t="str">
        <x:v>数据来源：代码/第四问代码/第四问.py；代码内 Parameters 默认参数；安装参数 a=0 m；阻尼上限=100000。所有数值由代码默认参数重新计算得到。</x:v>
      </x:c>
    </x:row>
    <x:row r="4" ht="22" customHeight="1">
      <x:c r="A4" s="13" t="str">
        <x:v>基准设置</x:v>
      </x:c>
      <x:c r="B4" s="13" t="str">
        <x:v>基准设置</x:v>
      </x:c>
      <x:c r="C4" s="13" t="str">
        <x:v>基准设置</x:v>
      </x:c>
      <x:c r="E4" s="13" t="str">
        <x:v>联合最优摘要</x:v>
      </x:c>
      <x:c r="F4" s="13" t="str">
        <x:v>联合最优摘要</x:v>
      </x:c>
      <x:c r="G4" s="13" t="str">
        <x:v>联合最优摘要</x:v>
      </x:c>
      <x:c r="H4" s="13" t="str">
        <x:v>联合最优摘要</x:v>
      </x:c>
    </x:row>
    <x:row r="5">
      <x:c r="A5" s="24" t="str">
        <x:v>安装参数 a</x:v>
      </x:c>
      <x:c r="B5" s="27" t="n">
        <x:v>0</x:v>
      </x:c>
      <x:c r="C5" s="21" t="str">
        <x:v>米</x:v>
      </x:c>
      <x:c r="E5" s="24" t="str">
        <x:v>直线最优阻尼</x:v>
      </x:c>
      <x:c r="F5" s="31" t="n">
        <x:v>59152.91607038817</x:v>
      </x:c>
      <x:c r="G5" s="21" t="str">
        <x:v>牛·秒/米</x:v>
      </x:c>
      <x:c r="H5" s="21" t="str">
        <x:v>闭式最优</x:v>
      </x:c>
    </x:row>
    <x:row r="6">
      <x:c r="A6" s="25" t="str">
        <x:v>波浪频率 ω</x:v>
      </x:c>
      <x:c r="B6" s="28" t="n">
        <x:v>1.9806</x:v>
      </x:c>
      <x:c r="C6" s="22" t="str">
        <x:v>弧度/秒</x:v>
      </x:c>
      <x:c r="E6" s="25" t="str">
        <x:v>旋转最优阻尼</x:v>
      </x:c>
      <x:c r="F6" s="32" t="n">
        <x:v>100000</x:v>
      </x:c>
      <x:c r="G6" s="22" t="str">
        <x:v>牛·米·秒</x:v>
      </x:c>
      <x:c r="H6" s="30" t="str">
        <x:v>受上限约束</x:v>
      </x:c>
    </x:row>
    <x:row r="7">
      <x:c r="A7" s="25" t="str">
        <x:v>波浪周期</x:v>
      </x:c>
      <x:c r="B7" s="28" t="n">
        <x:v>3.172364590113898</x:v>
      </x:c>
      <x:c r="C7" s="22" t="str">
        <x:v>秒</x:v>
      </x:c>
      <x:c r="E7" s="25" t="str">
        <x:v>直线通道功率</x:v>
      </x:c>
      <x:c r="F7" s="28" t="n">
        <x:v>318.3364385481062</x:v>
      </x:c>
      <x:c r="G7" s="22" t="str">
        <x:v>瓦</x:v>
      </x:c>
      <x:c r="H7" s="22" t="str">
        <x:v>周期平均</x:v>
      </x:c>
    </x:row>
    <x:row r="8">
      <x:c r="A8" s="26" t="str">
        <x:v>阻尼上限</x:v>
      </x:c>
      <x:c r="B8" s="29" t="n">
        <x:v>100000</x:v>
      </x:c>
      <x:c r="C8" s="23" t="str">
        <x:v>设计变量单位</x:v>
      </x:c>
      <x:c r="E8" s="26" t="str">
        <x:v>旋转通道功率</x:v>
      </x:c>
      <x:c r="F8" s="33" t="n">
        <x:v>0.19876079390204363</x:v>
      </x:c>
      <x:c r="G8" s="23" t="str">
        <x:v>瓦</x:v>
      </x:c>
      <x:c r="H8" s="23" t="str">
        <x:v>周期平均</x:v>
      </x:c>
    </x:row>
    <x:row r="10" ht="22" customHeight="1">
      <x:c r="A10" s="13" t="str">
        <x:v>两通道最优结果与数值搜索核对</x:v>
      </x:c>
      <x:c r="B10" s="13" t="str">
        <x:v>两通道最优结果与数值搜索核对</x:v>
      </x:c>
      <x:c r="C10" s="13" t="str">
        <x:v>两通道最优结果与数值搜索核对</x:v>
      </x:c>
      <x:c r="D10" s="13" t="str">
        <x:v>两通道最优结果与数值搜索核对</x:v>
      </x:c>
      <x:c r="E10" s="13" t="str">
        <x:v>两通道最优结果与数值搜索核对</x:v>
      </x:c>
      <x:c r="F10" s="13" t="str">
        <x:v>两通道最优结果与数值搜索核对</x:v>
      </x:c>
      <x:c r="G10" s="13" t="str">
        <x:v>两通道最优结果与数值搜索核对</x:v>
      </x:c>
      <x:c r="H10" s="13" t="str">
        <x:v>两通道最优结果与数值搜索核对</x:v>
      </x:c>
    </x:row>
    <x:row r="11" ht="32" customHeight="1">
      <x:c r="A11" s="39" t="str">
        <x:v>通道</x:v>
      </x:c>
      <x:c r="B11" s="39" t="str">
        <x:v>无约束最优阻尼</x:v>
      </x:c>
      <x:c r="C11" s="39" t="str">
        <x:v>约束下闭式最优</x:v>
      </x:c>
      <x:c r="D11" s="39" t="str">
        <x:v>有界搜索最优</x:v>
      </x:c>
      <x:c r="E11" s="39" t="str">
        <x:v>闭式功率（瓦）</x:v>
      </x:c>
      <x:c r="F11" s="39" t="str">
        <x:v>搜索功率（瓦）</x:v>
      </x:c>
      <x:c r="G11" s="39" t="str">
        <x:v>功率相对误差</x:v>
      </x:c>
      <x:c r="H11" s="39" t="str">
        <x:v>是否受上限约束</x:v>
      </x:c>
    </x:row>
    <x:row r="12">
      <x:c r="A12" s="21" t="str">
        <x:v>垂荡</x:v>
      </x:c>
      <x:c r="B12" s="31" t="n">
        <x:v>59152.91607038817</x:v>
      </x:c>
      <x:c r="C12" s="31" t="n">
        <x:v>59152.91607038817</x:v>
      </x:c>
      <x:c r="D12" s="31" t="n">
        <x:v>59152.916949309496</x:v>
      </x:c>
      <x:c r="E12" s="41" t="n">
        <x:v>318.3364385481062</x:v>
      </x:c>
      <x:c r="F12" s="41" t="n">
        <x:v>318.33643854810606</x:v>
      </x:c>
      <x:c r="G12" s="42" t="n">
        <x:f>ABS(F12-E12)/MAX(ABS(E12),1E-12)</x:f>
        <x:v>3.5712794375701344e-16</x:v>
      </x:c>
      <x:c r="H12" s="21" t="str">
        <x:f>IF(B12&gt;C12,"是","否")</x:f>
        <x:v>否</x:v>
      </x:c>
    </x:row>
    <x:row r="13">
      <x:c r="A13" s="23" t="str">
        <x:v>纵摇</x:v>
      </x:c>
      <x:c r="B13" s="40" t="n">
        <x:v>120392.58015503162</x:v>
      </x:c>
      <x:c r="C13" s="40" t="n">
        <x:v>100000</x:v>
      </x:c>
      <x:c r="D13" s="40" t="n">
        <x:v>100000</x:v>
      </x:c>
      <x:c r="E13" s="33" t="n">
        <x:v>0.19876079390204363</x:v>
      </x:c>
      <x:c r="F13" s="33" t="n">
        <x:v>0.19876079390204363</x:v>
      </x:c>
      <x:c r="G13" s="43" t="n">
        <x:f>ABS(F13-E13)/MAX(ABS(E13),1E-12)</x:f>
        <x:v>0</x:v>
      </x:c>
      <x:c r="H13" s="44" t="str">
        <x:f>IF(B13&gt;C13,"是","否")</x:f>
        <x:v>是</x:v>
      </x:c>
    </x:row>
    <x:row r="15" ht="22" customHeight="1">
      <x:c r="A15" s="13" t="str">
        <x:v>联合功率与响应幅值</x:v>
      </x:c>
      <x:c r="B15" s="13" t="str">
        <x:v>联合功率与响应幅值</x:v>
      </x:c>
      <x:c r="C15" s="13" t="str">
        <x:v>联合功率与响应幅值</x:v>
      </x:c>
      <x:c r="D15" s="13" t="str">
        <x:v>联合功率与响应幅值</x:v>
      </x:c>
    </x:row>
    <x:row r="16" ht="32" customHeight="1">
      <x:c r="A16" s="39" t="str">
        <x:v>指标</x:v>
      </x:c>
      <x:c r="B16" s="39" t="str">
        <x:v>数值</x:v>
      </x:c>
      <x:c r="C16" s="39" t="str">
        <x:v>单位</x:v>
      </x:c>
      <x:c r="D16" s="39" t="str">
        <x:v>数据来源</x:v>
      </x:c>
    </x:row>
    <x:row r="17">
      <x:c r="A17" s="24" t="str">
        <x:v>总平均输出功率</x:v>
      </x:c>
      <x:c r="B17" s="41" t="n">
        <x:f>SUM(E12,E13)</x:f>
        <x:v>318.53519934200824</x:v>
      </x:c>
      <x:c r="C17" s="21" t="str">
        <x:v>瓦</x:v>
      </x:c>
      <x:c r="D17" s="21" t="str">
        <x:v>闭式最优功率之和</x:v>
      </x:c>
    </x:row>
    <x:row r="18">
      <x:c r="A18" s="25" t="str">
        <x:v>垂荡通道功率</x:v>
      </x:c>
      <x:c r="B18" s="28" t="n">
        <x:f>E12</x:f>
        <x:v>318.3364385481062</x:v>
      </x:c>
      <x:c r="C18" s="22" t="str">
        <x:v>瓦</x:v>
      </x:c>
      <x:c r="D18" s="22" t="str">
        <x:v>对应通道闭式功率</x:v>
      </x:c>
    </x:row>
    <x:row r="19">
      <x:c r="A19" s="26" t="str">
        <x:v>纵摇通道功率</x:v>
      </x:c>
      <x:c r="B19" s="33" t="n">
        <x:f>E13</x:f>
        <x:v>0.19876079390204363</x:v>
      </x:c>
      <x:c r="C19" s="23" t="str">
        <x:v>瓦</x:v>
      </x:c>
      <x:c r="D19" s="23" t="str">
        <x:v>对应通道闭式功率</x:v>
      </x:c>
    </x:row>
    <x:row r="21" ht="32" customHeight="1">
      <x:c r="A21" s="39" t="str">
        <x:v>通道</x:v>
      </x:c>
      <x:c r="B21" s="39" t="str">
        <x:v>浮子幅值</x:v>
      </x:c>
      <x:c r="C21" s="39" t="str">
        <x:v>振子幅值</x:v>
      </x:c>
      <x:c r="D21" s="39" t="str">
        <x:v>相对幅值</x:v>
      </x:c>
    </x:row>
    <x:row r="22">
      <x:c r="A22" s="48" t="str">
        <x:v>垂荡（米）</x:v>
      </x:c>
      <x:c r="B22" s="51" t="n">
        <x:v>0.7503145514019682</x:v>
      </x:c>
      <x:c r="C22" s="51" t="n">
        <x:v>0.7786047245774038</x:v>
      </x:c>
      <x:c r="D22" s="51" t="n">
        <x:v>0.05238094391564583</x:v>
      </x:c>
    </x:row>
    <x:row r="23">
      <x:c r="A23" s="49" t="str">
        <x:v>纵摇（弧度）</x:v>
      </x:c>
      <x:c r="B23" s="52" t="n">
        <x:v>0.022965540918910708</x:v>
      </x:c>
      <x:c r="C23" s="52" t="n">
        <x:v>0.02374608036129049</x:v>
      </x:c>
      <x:c r="D23" s="52" t="n">
        <x:v>0.001006661790347523</x:v>
      </x:c>
    </x:row>
    <x:row r="24">
      <x:c r="A24" s="50" t="str">
        <x:v>说明</x:v>
      </x:c>
      <x:c r="B24" s="50" t="str">
        <x:v>复幅值绝对值</x:v>
      </x:c>
      <x:c r="C24" s="50" t="str">
        <x:v>复幅值绝对值</x:v>
      </x:c>
      <x:c r="D24" s="50" t="str">
        <x:v>振子与浮子相对复幅值绝对值</x:v>
      </x:c>
    </x:row>
    <x:row r="26" ht="22" customHeight="1">
      <x:c r="A26" s="13" t="str">
        <x:v>模型参数（代码默认值）</x:v>
      </x:c>
      <x:c r="B26" s="13" t="str">
        <x:v>模型参数（代码默认值）</x:v>
      </x:c>
      <x:c r="C26" s="13" t="str">
        <x:v>模型参数（代码默认值）</x:v>
      </x:c>
      <x:c r="D26" s="13" t="str">
        <x:v>模型参数（代码默认值）</x:v>
      </x:c>
    </x:row>
    <x:row r="27" ht="32" customHeight="1">
      <x:c r="A27" s="39" t="str">
        <x:v>参数</x:v>
      </x:c>
      <x:c r="B27" s="39" t="str">
        <x:v>数值</x:v>
      </x:c>
      <x:c r="C27" s="39" t="str">
        <x:v>单位</x:v>
      </x:c>
      <x:c r="D27" s="39" t="str">
        <x:v>来源</x:v>
      </x:c>
    </x:row>
    <x:row r="28">
      <x:c r="A28" s="56" t="str">
        <x:v>浮子质量 m1</x:v>
      </x:c>
      <x:c r="B28" s="53" t="n">
        <x:v>4866</x:v>
      </x:c>
      <x:c r="C28" s="48" t="str">
        <x:v>千克</x:v>
      </x:c>
      <x:c r="D28" s="48" t="str">
        <x:v>第四问.py 的 Parameters</x:v>
      </x:c>
    </x:row>
    <x:row r="29">
      <x:c r="A29" s="57" t="str">
        <x:v>振子质量 m2</x:v>
      </x:c>
      <x:c r="B29" s="54" t="n">
        <x:v>2433</x:v>
      </x:c>
      <x:c r="C29" s="49" t="str">
        <x:v>千克</x:v>
      </x:c>
      <x:c r="D29" s="49" t="str">
        <x:v>第四问.py 的 Parameters</x:v>
      </x:c>
    </x:row>
    <x:row r="30">
      <x:c r="A30" s="57" t="str">
        <x:v>附加质量 ma</x:v>
      </x:c>
      <x:c r="B30" s="54" t="n">
        <x:v>1091.099</x:v>
      </x:c>
      <x:c r="C30" s="49" t="str">
        <x:v>千克</x:v>
      </x:c>
      <x:c r="D30" s="49" t="str">
        <x:v>第四问.py 的 Parameters</x:v>
      </x:c>
    </x:row>
    <x:row r="31">
      <x:c r="A31" s="57" t="str">
        <x:v>附加转动惯量 ja</x:v>
      </x:c>
      <x:c r="B31" s="54" t="n">
        <x:v>7142.493</x:v>
      </x:c>
      <x:c r="C31" s="49" t="str">
        <x:v>千克·米²</x:v>
      </x:c>
      <x:c r="D31" s="49" t="str">
        <x:v>第四问.py 的 Parameters</x:v>
      </x:c>
    </x:row>
    <x:row r="32">
      <x:c r="A32" s="57" t="str">
        <x:v>浮子垂荡兴波阻尼 bz</x:v>
      </x:c>
      <x:c r="B32" s="54" t="n">
        <x:v>528.5018</x:v>
      </x:c>
      <x:c r="C32" s="49" t="str">
        <x:v>牛·秒/米</x:v>
      </x:c>
      <x:c r="D32" s="49" t="str">
        <x:v>第四问.py 的 Parameters</x:v>
      </x:c>
    </x:row>
    <x:row r="33">
      <x:c r="A33" s="57" t="str">
        <x:v>浮子纵摇兴波阻尼 bθ</x:v>
      </x:c>
      <x:c r="B33" s="54" t="n">
        <x:v>1655.909</x:v>
      </x:c>
      <x:c r="C33" s="49" t="str">
        <x:v>牛·米·秒</x:v>
      </x:c>
      <x:c r="D33" s="49" t="str">
        <x:v>第四问.py 的 Parameters</x:v>
      </x:c>
    </x:row>
    <x:row r="34">
      <x:c r="A34" s="57" t="str">
        <x:v>波浪激励力 force</x:v>
      </x:c>
      <x:c r="B34" s="54" t="n">
        <x:v>1760</x:v>
      </x:c>
      <x:c r="C34" s="49" t="str">
        <x:v>牛</x:v>
      </x:c>
      <x:c r="D34" s="49" t="str">
        <x:v>第四问.py 的 Parameters</x:v>
      </x:c>
    </x:row>
    <x:row r="35">
      <x:c r="A35" s="57" t="str">
        <x:v>波浪激励力矩 moment</x:v>
      </x:c>
      <x:c r="B35" s="54" t="n">
        <x:v>2140</x:v>
      </x:c>
      <x:c r="C35" s="49" t="str">
        <x:v>牛·米</x:v>
      </x:c>
      <x:c r="D35" s="49" t="str">
        <x:v>第四问.py 的 Parameters</x:v>
      </x:c>
    </x:row>
    <x:row r="36">
      <x:c r="A36" s="57" t="str">
        <x:v>波浪频率 omega</x:v>
      </x:c>
      <x:c r="B36" s="54" t="n">
        <x:v>1.9806</x:v>
      </x:c>
      <x:c r="C36" s="49" t="str">
        <x:v>弧度/秒</x:v>
      </x:c>
      <x:c r="D36" s="49" t="str">
        <x:v>第四问.py 的 Parameters</x:v>
      </x:c>
    </x:row>
    <x:row r="37">
      <x:c r="A37" s="57" t="str">
        <x:v>直线弹簧刚度 k</x:v>
      </x:c>
      <x:c r="B37" s="54" t="n">
        <x:v>80000</x:v>
      </x:c>
      <x:c r="C37" s="49" t="str">
        <x:v>牛/米</x:v>
      </x:c>
      <x:c r="D37" s="49" t="str">
        <x:v>第四问.py 的 Parameters</x:v>
      </x:c>
    </x:row>
    <x:row r="38">
      <x:c r="A38" s="57" t="str">
        <x:v>扭转弹簧刚度 kθ</x:v>
      </x:c>
      <x:c r="B38" s="54" t="n">
        <x:v>250000</x:v>
      </x:c>
      <x:c r="C38" s="49" t="str">
        <x:v>牛·米</x:v>
      </x:c>
      <x:c r="D38" s="49" t="str">
        <x:v>第四问.py 的 Parameters</x:v>
      </x:c>
    </x:row>
    <x:row r="39">
      <x:c r="A39" s="57" t="str">
        <x:v>垂荡恢复刚度 kz</x:v>
      </x:c>
      <x:c r="B39" s="54" t="n">
        <x:v>31557.2982</x:v>
      </x:c>
      <x:c r="C39" s="49" t="str">
        <x:v>牛/米</x:v>
      </x:c>
      <x:c r="D39" s="49" t="str">
        <x:v>第四问.py 的 Parameters</x:v>
      </x:c>
    </x:row>
    <x:row r="40">
      <x:c r="A40" s="57" t="str">
        <x:v>纵摇恢复系数 Kθ</x:v>
      </x:c>
      <x:c r="B40" s="54" t="n">
        <x:v>8890.7</x:v>
      </x:c>
      <x:c r="C40" s="49" t="str">
        <x:v>牛·米</x:v>
      </x:c>
      <x:c r="D40" s="49" t="str">
        <x:v>第四问.py 的 Parameters</x:v>
      </x:c>
    </x:row>
    <x:row r="41">
      <x:c r="A41" s="57" t="str">
        <x:v>浮子纵摇转动惯量 J1</x:v>
      </x:c>
      <x:c r="B41" s="54" t="n">
        <x:v>18044.4204</x:v>
      </x:c>
      <x:c r="C41" s="49" t="str">
        <x:v>千克·米²</x:v>
      </x:c>
      <x:c r="D41" s="49" t="str">
        <x:v>第四问.py 的 Parameters</x:v>
      </x:c>
    </x:row>
    <x:row r="42">
      <x:c r="A42" s="57" t="str">
        <x:v>振子质心转动惯量 J2_cm</x:v>
      </x:c>
      <x:c r="B42" s="54" t="n">
        <x:v>202.75</x:v>
      </x:c>
      <x:c r="C42" s="49" t="str">
        <x:v>千克·米²</x:v>
      </x:c>
      <x:c r="D42" s="49" t="str">
        <x:v>第四问.py 的 Parameters</x:v>
      </x:c>
    </x:row>
    <x:row r="43">
      <x:c r="A43" s="57" t="str">
        <x:v>安装参数 a</x:v>
      </x:c>
      <x:c r="B43" s="54" t="n">
        <x:v>0</x:v>
      </x:c>
      <x:c r="C43" s="49" t="str">
        <x:v>米</x:v>
      </x:c>
      <x:c r="D43" s="49" t="str">
        <x:v>第四问.py 的 Parameters</x:v>
      </x:c>
    </x:row>
    <x:row r="44">
      <x:c r="A44" s="57" t="str">
        <x:v>阻尼下限</x:v>
      </x:c>
      <x:c r="B44" s="54" t="n">
        <x:v>0</x:v>
      </x:c>
      <x:c r="C44" s="49" t="str">
        <x:v>设计变量单位</x:v>
      </x:c>
      <x:c r="D44" s="49" t="str">
        <x:v>第四问.py 的 Parameters</x:v>
      </x:c>
    </x:row>
    <x:row r="45">
      <x:c r="A45" s="58" t="str">
        <x:v>阻尼上限</x:v>
      </x:c>
      <x:c r="B45" s="55" t="n">
        <x:v>100000</x:v>
      </x:c>
      <x:c r="C45" s="50" t="str">
        <x:v>设计变量单位</x:v>
      </x:c>
      <x:c r="D45" s="50" t="str">
        <x:v>第四问.py 的 Parameters</x:v>
      </x:c>
    </x:row>
  </x:sheetData>
  <x:mergeCells>
    <x:mergeCell ref="A1:H1"/>
    <x:mergeCell ref="A2:H2"/>
    <x:mergeCell ref="A4:C4"/>
    <x:mergeCell ref="E4:H4"/>
    <x:mergeCell ref="A10:H10"/>
    <x:mergeCell ref="A15:D15"/>
    <x:mergeCell ref="A26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18" hidden="0" customWidth="1"/>
    <x:col min="5" max="5" width="12" hidden="0" customWidth="1"/>
    <x:col min="6" max="6" width="13" hidden="0" customWidth="1"/>
  </x:cols>
  <x:sheetData>
    <x:row r="1" ht="28" customHeight="1">
      <x:c r="A1" s="4" t="str">
        <x:v>问题四检验结果与判据核对</x:v>
      </x:c>
      <x:c r="B1" s="4" t="str">
        <x:v>问题四检验结果与判据核对</x:v>
      </x:c>
      <x:c r="C1" s="4" t="str">
        <x:v>问题四检验结果与判据核对</x:v>
      </x:c>
      <x:c r="D1" s="4" t="str">
        <x:v>问题四检验结果与判据核对</x:v>
      </x:c>
      <x:c r="E1" s="4" t="str">
        <x:v>问题四检验结果与判据核对</x:v>
      </x:c>
      <x:c r="F1" s="4" t="str">
        <x:v>问题四检验结果与判据核对</x:v>
      </x:c>
    </x:row>
    <x:row r="2" ht="30" customHeight="1">
      <x:c r="A2" s="9" t="str">
        <x:v>数据来源：代码/第四问代码/第四问.py；检验阈值和判定逻辑与代码 main() 中的最终检验一致。</x:v>
      </x:c>
      <x:c r="B2" s="9" t="str">
        <x:v>数据来源：代码/第四问代码/第四问.py；检验阈值和判定逻辑与代码 main() 中的最终检验一致。</x:v>
      </x:c>
      <x:c r="C2" s="9" t="str">
        <x:v>数据来源：代码/第四问代码/第四问.py；检验阈值和判定逻辑与代码 main() 中的最终检验一致。</x:v>
      </x:c>
      <x:c r="D2" s="9" t="str">
        <x:v>数据来源：代码/第四问代码/第四问.py；检验阈值和判定逻辑与代码 main() 中的最终检验一致。</x:v>
      </x:c>
      <x:c r="E2" s="9" t="str">
        <x:v>数据来源：代码/第四问代码/第四问.py；检验阈值和判定逻辑与代码 main() 中的最终检验一致。</x:v>
      </x:c>
      <x:c r="F2" s="9" t="str">
        <x:v>数据来源：代码/第四问代码/第四问.py；检验阈值和判定逻辑与代码 main() 中的最终检验一致。</x:v>
      </x:c>
    </x:row>
    <x:row r="4" ht="22" customHeight="1">
      <x:c r="A4" s="13" t="str">
        <x:v>数值检验</x:v>
      </x:c>
      <x:c r="B4" s="13" t="str">
        <x:v>数值检验</x:v>
      </x:c>
      <x:c r="C4" s="13" t="str">
        <x:v>数值检验</x:v>
      </x:c>
      <x:c r="D4" s="13" t="str">
        <x:v>数值检验</x:v>
      </x:c>
      <x:c r="E4" s="13" t="str">
        <x:v>数值检验</x:v>
      </x:c>
      <x:c r="F4" s="13" t="str">
        <x:v>数值检验</x:v>
      </x:c>
    </x:row>
    <x:row r="5" ht="32" customHeight="1">
      <x:c r="A5" s="39" t="str">
        <x:v>检验类别</x:v>
      </x:c>
      <x:c r="B5" s="39" t="str">
        <x:v>检验项目</x:v>
      </x:c>
      <x:c r="C5" s="39" t="str">
        <x:v>实际值</x:v>
      </x:c>
      <x:c r="D5" s="39" t="str">
        <x:v>判据值</x:v>
      </x:c>
      <x:c r="E5" s="39" t="str">
        <x:v>比较关系</x:v>
      </x:c>
      <x:c r="F5" s="39" t="str">
        <x:v>结论</x:v>
      </x:c>
    </x:row>
    <x:row r="6">
      <x:c r="A6" s="21" t="str">
        <x:v>检验一</x:v>
      </x:c>
      <x:c r="B6" s="21" t="str">
        <x:v>高密度网格—垂荡功率相对误差</x:v>
      </x:c>
      <x:c r="C6" s="42" t="n">
        <x:v>7.881813718717287e-13</x:v>
      </x:c>
      <x:c r="D6" s="42" t="n">
        <x:v>1e-8</x:v>
      </x:c>
      <x:c r="E6" s="21" t="str">
        <x:v>&lt;</x:v>
      </x:c>
      <x:c r="F6" s="63" t="str">
        <x:f>IF(E6="&gt;",IF(C6&gt;D6,"通过","需关注"),IF(C6&lt;D6,"通过","需关注"))</x:f>
        <x:v>通过</x:v>
      </x:c>
    </x:row>
    <x:row r="7">
      <x:c r="A7" s="22" t="str">
        <x:v>检验一</x:v>
      </x:c>
      <x:c r="B7" s="22" t="str">
        <x:v>高密度网格—纵摇功率相对误差</x:v>
      </x:c>
      <x:c r="C7" s="59" t="n">
        <x:v>0</x:v>
      </x:c>
      <x:c r="D7" s="59" t="n">
        <x:v>1e-8</x:v>
      </x:c>
      <x:c r="E7" s="22" t="str">
        <x:v>&lt;</x:v>
      </x:c>
      <x:c r="F7" s="64" t="str">
        <x:f>IF(E7="&gt;",IF(C7&gt;D7,"通过","需关注"),IF(C7&lt;D7,"通过","需关注"))</x:f>
        <x:v>通过</x:v>
      </x:c>
    </x:row>
    <x:row r="8">
      <x:c r="A8" s="22" t="str">
        <x:v>检验一</x:v>
      </x:c>
      <x:c r="B8" s="22" t="str">
        <x:v>有界搜索—垂荡功率相对误差</x:v>
      </x:c>
      <x:c r="C8" s="59" t="n">
        <x:v>3.5712794375701344e-16</x:v>
      </x:c>
      <x:c r="D8" s="59" t="n">
        <x:v>1e-8</x:v>
      </x:c>
      <x:c r="E8" s="22" t="str">
        <x:v>&lt;</x:v>
      </x:c>
      <x:c r="F8" s="64" t="str">
        <x:f>IF(E8="&gt;",IF(C8&gt;D8,"通过","需关注"),IF(C8&lt;D8,"通过","需关注"))</x:f>
        <x:v>通过</x:v>
      </x:c>
    </x:row>
    <x:row r="9">
      <x:c r="A9" s="22" t="str">
        <x:v>检验一</x:v>
      </x:c>
      <x:c r="B9" s="22" t="str">
        <x:v>有界搜索—纵摇功率相对误差</x:v>
      </x:c>
      <x:c r="C9" s="59" t="n">
        <x:v>0</x:v>
      </x:c>
      <x:c r="D9" s="59" t="n">
        <x:v>1e-8</x:v>
      </x:c>
      <x:c r="E9" s="22" t="str">
        <x:v>&lt;</x:v>
      </x:c>
      <x:c r="F9" s="64" t="str">
        <x:f>IF(E9="&gt;",IF(C9&gt;D9,"通过","需关注"),IF(C9&lt;D9,"通过","需关注"))</x:f>
        <x:v>通过</x:v>
      </x:c>
    </x:row>
    <x:row r="10">
      <x:c r="A10" s="22" t="str">
        <x:v>结构</x:v>
      </x:c>
      <x:c r="B10" s="22" t="str">
        <x:v>垂荡解析降维最大相对误差</x:v>
      </x:c>
      <x:c r="C10" s="59" t="n">
        <x:v>1.3991722390010375e-14</x:v>
      </x:c>
      <x:c r="D10" s="59" t="n">
        <x:v>1e-10</x:v>
      </x:c>
      <x:c r="E10" s="22" t="str">
        <x:v>&lt;</x:v>
      </x:c>
      <x:c r="F10" s="64" t="str">
        <x:f>IF(E10="&gt;",IF(C10&gt;D10,"通过","需关注"),IF(C10&lt;D10,"通过","需关注"))</x:f>
        <x:v>通过</x:v>
      </x:c>
    </x:row>
    <x:row r="11">
      <x:c r="A11" s="22" t="str">
        <x:v>结构</x:v>
      </x:c>
      <x:c r="B11" s="22" t="str">
        <x:v>纵摇解析降维最大相对误差</x:v>
      </x:c>
      <x:c r="C11" s="59" t="n">
        <x:v>4.128577979450745e-15</x:v>
      </x:c>
      <x:c r="D11" s="59" t="n">
        <x:v>1e-10</x:v>
      </x:c>
      <x:c r="E11" s="22" t="str">
        <x:v>&lt;</x:v>
      </x:c>
      <x:c r="F11" s="64" t="str">
        <x:f>IF(E11="&gt;",IF(C11&gt;D11,"通过","需关注"),IF(C11&lt;D11,"通过","需关注"))</x:f>
        <x:v>通过</x:v>
      </x:c>
    </x:row>
    <x:row r="12">
      <x:c r="A12" s="22" t="str">
        <x:v>结构</x:v>
      </x:c>
      <x:c r="B12" s="22" t="str">
        <x:v>垂荡动态矩阵最小归一化行列式</x:v>
      </x:c>
      <x:c r="C12" s="59" t="n">
        <x:v>0.004806758285369272</x:v>
      </x:c>
      <x:c r="D12" s="59" t="n">
        <x:v>1e-12</x:v>
      </x:c>
      <x:c r="E12" s="22" t="str">
        <x:v>&gt;</x:v>
      </x:c>
      <x:c r="F12" s="64" t="str">
        <x:f>IF(E12="&gt;",IF(C12&gt;D12,"通过","需关注"),IF(C12&lt;D12,"通过","需关注"))</x:f>
        <x:v>通过</x:v>
      </x:c>
    </x:row>
    <x:row r="13">
      <x:c r="A13" s="22" t="str">
        <x:v>结构</x:v>
      </x:c>
      <x:c r="B13" s="22" t="str">
        <x:v>纵摇动态矩阵最小归一化行列式</x:v>
      </x:c>
      <x:c r="C13" s="59" t="n">
        <x:v>0.15691171033698637</x:v>
      </x:c>
      <x:c r="D13" s="59" t="n">
        <x:v>1e-12</x:v>
      </x:c>
      <x:c r="E13" s="22" t="str">
        <x:v>&gt;</x:v>
      </x:c>
      <x:c r="F13" s="64" t="str">
        <x:f>IF(E13="&gt;",IF(C13&gt;D13,"通过","需关注"),IF(C13&lt;D13,"通过","需关注"))</x:f>
        <x:v>通过</x:v>
      </x:c>
    </x:row>
    <x:row r="14">
      <x:c r="A14" s="22" t="str">
        <x:v>检验二</x:v>
      </x:c>
      <x:c r="B14" s="22" t="str">
        <x:v>垂荡频域能量收支相对残差</x:v>
      </x:c>
      <x:c r="C14" s="59" t="n">
        <x:v>1.1848792409276442e-14</x:v>
      </x:c>
      <x:c r="D14" s="59" t="n">
        <x:v>1e-10</x:v>
      </x:c>
      <x:c r="E14" s="22" t="str">
        <x:v>&lt;</x:v>
      </x:c>
      <x:c r="F14" s="64" t="str">
        <x:f>IF(E14="&gt;",IF(C14&gt;D14,"通过","需关注"),IF(C14&lt;D14,"通过","需关注"))</x:f>
        <x:v>通过</x:v>
      </x:c>
    </x:row>
    <x:row r="15">
      <x:c r="A15" s="22" t="str">
        <x:v>检验二</x:v>
      </x:c>
      <x:c r="B15" s="22" t="str">
        <x:v>纵摇频域能量收支相对残差</x:v>
      </x:c>
      <x:c r="C15" s="59" t="n">
        <x:v>4.500719547760124e-16</x:v>
      </x:c>
      <x:c r="D15" s="59" t="n">
        <x:v>1e-10</x:v>
      </x:c>
      <x:c r="E15" s="22" t="str">
        <x:v>&lt;</x:v>
      </x:c>
      <x:c r="F15" s="64" t="str">
        <x:f>IF(E15="&gt;",IF(C15&gt;D15,"通过","需关注"),IF(C15&lt;D15,"通过","需关注"))</x:f>
        <x:v>通过</x:v>
      </x:c>
    </x:row>
    <x:row r="16">
      <x:c r="A16" s="22" t="str">
        <x:v>检验二</x:v>
      </x:c>
      <x:c r="B16" s="22" t="str">
        <x:v>合计频域能量收支相对残差</x:v>
      </x:c>
      <x:c r="C16" s="59" t="n">
        <x:v>1.1886622313003343e-14</x:v>
      </x:c>
      <x:c r="D16" s="59" t="n">
        <x:v>1e-10</x:v>
      </x:c>
      <x:c r="E16" s="22" t="str">
        <x:v>&lt;</x:v>
      </x:c>
      <x:c r="F16" s="64" t="str">
        <x:f>IF(E16="&gt;",IF(C16&gt;D16,"通过","需关注"),IF(C16&lt;D16,"通过","需关注"))</x:f>
        <x:v>通过</x:v>
      </x:c>
    </x:row>
    <x:row r="17">
      <x:c r="A17" s="22" t="str">
        <x:v>结构</x:v>
      </x:c>
      <x:c r="B17" s="22" t="str">
        <x:v>二维总功率与通道功率和最大差（瓦）</x:v>
      </x:c>
      <x:c r="C17" s="59" t="n">
        <x:v>0</x:v>
      </x:c>
      <x:c r="D17" s="59" t="n">
        <x:v>1e-8</x:v>
      </x:c>
      <x:c r="E17" s="22" t="str">
        <x:v>&lt;</x:v>
      </x:c>
      <x:c r="F17" s="64" t="str">
        <x:f>IF(E17="&gt;",IF(C17&gt;D17,"通过","需关注"),IF(C17&lt;D17,"通过","需关注"))</x:f>
        <x:v>通过</x:v>
      </x:c>
    </x:row>
    <x:row r="18">
      <x:c r="A18" s="23" t="str">
        <x:v>检验二</x:v>
      </x:c>
      <x:c r="B18" s="23" t="str">
        <x:v>频域—高精度时域总功率相对误差</x:v>
      </x:c>
      <x:c r="C18" s="43" t="n">
        <x:v>0.00011947950495596728</x:v>
      </x:c>
      <x:c r="D18" s="43" t="n">
        <x:v>0.001</x:v>
      </x:c>
      <x:c r="E18" s="23" t="str">
        <x:v>&lt;</x:v>
      </x:c>
      <x:c r="F18" s="65" t="str">
        <x:f>IF(E18="&gt;",IF(C18&gt;D18,"通过","需关注"),IF(C18&lt;D18,"通过","需关注"))</x:f>
        <x:v>通过</x:v>
      </x:c>
    </x:row>
    <x:row r="20" ht="22" customHeight="1">
      <x:c r="A20" s="13" t="str">
        <x:v>联合最优网格复核点</x:v>
      </x:c>
      <x:c r="B20" s="13" t="str">
        <x:v>联合最优网格复核点</x:v>
      </x:c>
      <x:c r="C20" s="13" t="str">
        <x:v>联合最优网格复核点</x:v>
      </x:c>
      <x:c r="D20" s="13" t="str">
        <x:v>联合最优网格复核点</x:v>
      </x:c>
    </x:row>
    <x:row r="21" ht="32" customHeight="1">
      <x:c r="A21" s="39" t="str">
        <x:v>指标</x:v>
      </x:c>
      <x:c r="B21" s="39" t="str">
        <x:v>代码值</x:v>
      </x:c>
      <x:c r="C21" s="39" t="str">
        <x:v>图中使用值</x:v>
      </x:c>
      <x:c r="D21" s="39" t="str">
        <x:v>绝对差</x:v>
      </x:c>
    </x:row>
    <x:row r="22">
      <x:c r="A22" s="21" t="str">
        <x:v>直线阻尼系数（21×21网格最大点）</x:v>
      </x:c>
      <x:c r="B22" s="31" t="n">
        <x:v>60000</x:v>
      </x:c>
      <x:c r="C22" s="31" t="n">
        <x:v>60000</x:v>
      </x:c>
      <x:c r="D22" s="31" t="n">
        <x:f>ABS(B22-C22)</x:f>
        <x:v>0</x:v>
      </x:c>
    </x:row>
    <x:row r="23">
      <x:c r="A23" s="23" t="str">
        <x:v>旋转阻尼系数（21×21网格最大点）</x:v>
      </x:c>
      <x:c r="B23" s="40" t="n">
        <x:v>100000</x:v>
      </x:c>
      <x:c r="C23" s="40" t="n">
        <x:v>100000</x:v>
      </x:c>
      <x:c r="D23" s="40" t="n">
        <x:f>ABS(B23-C23)</x:f>
        <x:v>0</x:v>
      </x:c>
    </x:row>
    <x:row r="25" ht="32" customHeight="1">
      <x:c r="A25" s="39" t="str">
        <x:v>最终判定</x:v>
      </x:c>
      <x:c r="B25" s="39" t="str">
        <x:v>结果</x:v>
      </x:c>
    </x:row>
    <x:row r="26">
      <x:c r="A26" s="21" t="str">
        <x:v>检验一：闭式最优与独立搜索</x:v>
      </x:c>
      <x:c r="B26" s="66" t="str">
        <x:v>通过</x:v>
      </x:c>
    </x:row>
    <x:row r="27">
      <x:c r="A27" s="22" t="str">
        <x:v>检验二：时域复核与能量收支</x:v>
      </x:c>
      <x:c r="B27" s="67" t="str">
        <x:v>通过</x:v>
      </x:c>
    </x:row>
    <x:row r="28">
      <x:c r="A28" s="23" t="str">
        <x:v>检验三：灵敏度与情景分析</x:v>
      </x:c>
      <x:c r="B28" s="68" t="str">
        <x:v>通过</x:v>
      </x:c>
    </x:row>
  </x:sheetData>
  <x:mergeCells>
    <x:mergeCell ref="A1:F1"/>
    <x:mergeCell ref="A2:F2"/>
    <x:mergeCell ref="A4:F4"/>
    <x:mergeCell ref="A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8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22" hidden="0" customWidth="1"/>
  </x:cols>
  <x:sheetData>
    <x:row r="1" ht="28" customHeight="1">
      <x:c r="A1" s="4" t="str">
        <x:v>关键参数 ±10% 灵敏度明细</x:v>
      </x:c>
      <x:c r="B1" s="4" t="str">
        <x:v>关键参数 ±10% 灵敏度明细</x:v>
      </x:c>
      <x:c r="C1" s="4" t="str">
        <x:v>关键参数 ±10% 灵敏度明细</x:v>
      </x:c>
      <x:c r="D1" s="4" t="str">
        <x:v>关键参数 ±10% 灵敏度明细</x:v>
      </x:c>
      <x:c r="E1" s="4" t="str">
        <x:v>关键参数 ±10% 灵敏度明细</x:v>
      </x:c>
      <x:c r="F1" s="4" t="str">
        <x:v>关键参数 ±10% 灵敏度明细</x:v>
      </x:c>
      <x:c r="G1" s="4" t="str">
        <x:v>关键参数 ±10% 灵敏度明细</x:v>
      </x:c>
      <x:c r="H1" s="4" t="str">
        <x:v>关键参数 ±10% 灵敏度明细</x:v>
      </x:c>
      <x:c r="I1" s="4" t="str">
        <x:v>关键参数 ±10% 灵敏度明细</x:v>
      </x:c>
      <x:c r="J1" s="4" t="str">
        <x:v>关键参数 ±10% 灵敏度明细</x:v>
      </x:c>
    </x:row>
    <x:row r="2" ht="30" customHeight="1">
      <x:c r="A2" s="9" t="str">
        <x:v>数据来源：代码/第四问代码/第四问.py；每次仅扰动一个参数，并重新计算两个阻尼通道的闭式最优。基准总功率 P0=318.5351993420 瓦。</x:v>
      </x:c>
      <x:c r="B2" s="9" t="str">
        <x:v>数据来源：代码/第四问代码/第四问.py；每次仅扰动一个参数，并重新计算两个阻尼通道的闭式最优。基准总功率 P0=318.5351993420 瓦。</x:v>
      </x:c>
      <x:c r="C2" s="9" t="str">
        <x:v>数据来源：代码/第四问代码/第四问.py；每次仅扰动一个参数，并重新计算两个阻尼通道的闭式最优。基准总功率 P0=318.5351993420 瓦。</x:v>
      </x:c>
      <x:c r="D2" s="9" t="str">
        <x:v>数据来源：代码/第四问代码/第四问.py；每次仅扰动一个参数，并重新计算两个阻尼通道的闭式最优。基准总功率 P0=318.5351993420 瓦。</x:v>
      </x:c>
      <x:c r="E2" s="9" t="str">
        <x:v>数据来源：代码/第四问代码/第四问.py；每次仅扰动一个参数，并重新计算两个阻尼通道的闭式最优。基准总功率 P0=318.5351993420 瓦。</x:v>
      </x:c>
      <x:c r="F2" s="9" t="str">
        <x:v>数据来源：代码/第四问代码/第四问.py；每次仅扰动一个参数，并重新计算两个阻尼通道的闭式最优。基准总功率 P0=318.5351993420 瓦。</x:v>
      </x:c>
      <x:c r="G2" s="9" t="str">
        <x:v>数据来源：代码/第四问代码/第四问.py；每次仅扰动一个参数，并重新计算两个阻尼通道的闭式最优。基准总功率 P0=318.5351993420 瓦。</x:v>
      </x:c>
      <x:c r="H2" s="9" t="str">
        <x:v>数据来源：代码/第四问代码/第四问.py；每次仅扰动一个参数，并重新计算两个阻尼通道的闭式最优。基准总功率 P0=318.5351993420 瓦。</x:v>
      </x:c>
      <x:c r="I2" s="9" t="str">
        <x:v>数据来源：代码/第四问代码/第四问.py；每次仅扰动一个参数，并重新计算两个阻尼通道的闭式最优。基准总功率 P0=318.5351993420 瓦。</x:v>
      </x:c>
      <x:c r="J2" s="9" t="str">
        <x:v>数据来源：代码/第四问代码/第四问.py；每次仅扰动一个参数，并重新计算两个阻尼通道的闭式最优。基准总功率 P0=318.5351993420 瓦。</x:v>
      </x:c>
    </x:row>
    <x:row r="4" ht="22" customHeight="1">
      <x:c r="A4" s="13" t="str">
        <x:v>重新优化明细</x:v>
      </x:c>
      <x:c r="B4" s="13" t="str">
        <x:v>重新优化明细</x:v>
      </x:c>
      <x:c r="C4" s="13" t="str">
        <x:v>重新优化明细</x:v>
      </x:c>
      <x:c r="D4" s="13" t="str">
        <x:v>重新优化明细</x:v>
      </x:c>
      <x:c r="E4" s="13" t="str">
        <x:v>重新优化明细</x:v>
      </x:c>
      <x:c r="F4" s="13" t="str">
        <x:v>重新优化明细</x:v>
      </x:c>
      <x:c r="G4" s="13" t="str">
        <x:v>重新优化明细</x:v>
      </x:c>
      <x:c r="H4" s="13" t="str">
        <x:v>重新优化明细</x:v>
      </x:c>
      <x:c r="I4" s="13" t="str">
        <x:v>重新优化明细</x:v>
      </x:c>
      <x:c r="J4" s="13" t="str">
        <x:v>重新优化明细</x:v>
      </x:c>
    </x:row>
    <x:row r="5" ht="32" customHeight="1">
      <x:c r="A5" s="39" t="str">
        <x:v>参数</x:v>
      </x:c>
      <x:c r="B5" s="39" t="str">
        <x:v>扰动</x:v>
      </x:c>
      <x:c r="C5" s="39" t="str">
        <x:v>参数值</x:v>
      </x:c>
      <x:c r="D5" s="39" t="str">
        <x:v>直线最优阻尼</x:v>
      </x:c>
      <x:c r="E5" s="39" t="str">
        <x:v>旋转最优阻尼</x:v>
      </x:c>
      <x:c r="F5" s="39" t="str">
        <x:v>垂荡功率（瓦）</x:v>
      </x:c>
      <x:c r="G5" s="39" t="str">
        <x:v>纵摇功率（瓦）</x:v>
      </x:c>
      <x:c r="H5" s="39" t="str">
        <x:v>总功率（瓦）</x:v>
      </x:c>
      <x:c r="I5" s="39" t="str">
        <x:v>代码字段</x:v>
      </x:c>
      <x:c r="J5" s="39" t="str">
        <x:v>数据来源</x:v>
      </x:c>
    </x:row>
    <x:row r="6">
      <x:c r="A6" s="56" t="str">
        <x:v>浮子质量 m1</x:v>
      </x:c>
      <x:c r="B6" s="48" t="str">
        <x:v>-10%</x:v>
      </x:c>
      <x:c r="C6" s="69" t="n">
        <x:v>4379.400000000001</x:v>
      </x:c>
      <x:c r="D6" s="69" t="n">
        <x:v>38496.46409807129</x:v>
      </x:c>
      <x:c r="E6" s="69" t="n">
        <x:v>100000</x:v>
      </x:c>
      <x:c r="F6" s="69" t="n">
        <x:v>690.7500097278403</x:v>
      </x:c>
      <x:c r="G6" s="69" t="n">
        <x:v>0.19876079390204363</x:v>
      </x:c>
      <x:c r="H6" s="69" t="n">
        <x:v>690.9487705217423</x:v>
      </x:c>
      <x:c r="I6" s="48" t="str">
        <x:v>m1</x:v>
      </x:c>
      <x:c r="J6" s="48" t="str">
        <x:v>sensitivity_cases()</x:v>
      </x:c>
    </x:row>
    <x:row r="7">
      <x:c r="A7" s="57" t="str">
        <x:v>浮子质量 m1</x:v>
      </x:c>
      <x:c r="B7" s="49" t="str">
        <x:v>+10%</x:v>
      </x:c>
      <x:c r="C7" s="70" t="n">
        <x:v>5352.6</x:v>
      </x:c>
      <x:c r="D7" s="70" t="n">
        <x:v>48522.714268006486</x:v>
      </x:c>
      <x:c r="E7" s="70" t="n">
        <x:v>100000</x:v>
      </x:c>
      <x:c r="F7" s="70" t="n">
        <x:v>114.09555950596135</x:v>
      </x:c>
      <x:c r="G7" s="70" t="n">
        <x:v>0.19876079390204363</x:v>
      </x:c>
      <x:c r="H7" s="70" t="n">
        <x:v>114.29432029986339</x:v>
      </x:c>
      <x:c r="I7" s="49" t="str">
        <x:v>m1</x:v>
      </x:c>
      <x:c r="J7" s="49" t="str">
        <x:v>sensitivity_cases()</x:v>
      </x:c>
    </x:row>
    <x:row r="8">
      <x:c r="A8" s="57" t="str">
        <x:v>波浪频率 omega</x:v>
      </x:c>
      <x:c r="B8" s="49" t="str">
        <x:v>-10%</x:v>
      </x:c>
      <x:c r="C8" s="70" t="n">
        <x:v>1.78254</x:v>
      </x:c>
      <x:c r="D8" s="70" t="n">
        <x:v>33965.869287842805</x:v>
      </x:c>
      <x:c r="E8" s="70" t="n">
        <x:v>100000</x:v>
      </x:c>
      <x:c r="F8" s="70" t="n">
        <x:v>52.79363113039859</x:v>
      </x:c>
      <x:c r="G8" s="70" t="n">
        <x:v>0.25605748294487474</x:v>
      </x:c>
      <x:c r="H8" s="70" t="n">
        <x:v>53.04968861334346</x:v>
      </x:c>
      <x:c r="I8" s="49" t="str">
        <x:v>omega</x:v>
      </x:c>
      <x:c r="J8" s="49" t="str">
        <x:v>sensitivity_cases()</x:v>
      </x:c>
    </x:row>
    <x:row r="9">
      <x:c r="A9" s="57" t="str">
        <x:v>波浪频率 omega</x:v>
      </x:c>
      <x:c r="B9" s="49" t="str">
        <x:v>+10%</x:v>
      </x:c>
      <x:c r="C9" s="70" t="n">
        <x:v>2.1786600000000003</x:v>
      </x:c>
      <x:c r="D9" s="70" t="n">
        <x:v>38696.276007224886</x:v>
      </x:c>
      <x:c r="E9" s="70" t="n">
        <x:v>100000</x:v>
      </x:c>
      <x:c r="F9" s="70" t="n">
        <x:v>37.33441074551992</x:v>
      </x:c>
      <x:c r="G9" s="70" t="n">
        <x:v>0.1597608344550695</x:v>
      </x:c>
      <x:c r="H9" s="70" t="n">
        <x:v>37.49417157997499</x:v>
      </x:c>
      <x:c r="I9" s="49" t="str">
        <x:v>omega</x:v>
      </x:c>
      <x:c r="J9" s="49" t="str">
        <x:v>sensitivity_cases()</x:v>
      </x:c>
    </x:row>
    <x:row r="10">
      <x:c r="A10" s="57" t="str">
        <x:v>垂荡刚度 kz</x:v>
      </x:c>
      <x:c r="B10" s="49" t="str">
        <x:v>-10%</x:v>
      </x:c>
      <x:c r="C10" s="70" t="n">
        <x:v>28401.56838</x:v>
      </x:c>
      <x:c r="D10" s="70" t="n">
        <x:v>45303.25132418252</x:v>
      </x:c>
      <x:c r="E10" s="70" t="n">
        <x:v>100000</x:v>
      </x:c>
      <x:c r="F10" s="70" t="n">
        <x:v>69.18245403854257</x:v>
      </x:c>
      <x:c r="G10" s="70" t="n">
        <x:v>0.19876079390204363</x:v>
      </x:c>
      <x:c r="H10" s="70" t="n">
        <x:v>69.38121483244461</x:v>
      </x:c>
      <x:c r="I10" s="49" t="str">
        <x:v>kz</x:v>
      </x:c>
      <x:c r="J10" s="49" t="str">
        <x:v>sensitivity_cases()</x:v>
      </x:c>
    </x:row>
    <x:row r="11">
      <x:c r="A11" s="57" t="str">
        <x:v>垂荡刚度 kz</x:v>
      </x:c>
      <x:c r="B11" s="49" t="str">
        <x:v>+10%</x:v>
      </x:c>
      <x:c r="C11" s="70" t="n">
        <x:v>34713.028020000005</x:v>
      </x:c>
      <x:c r="D11" s="70" t="n">
        <x:v>19870.55952332782</x:v>
      </x:c>
      <x:c r="E11" s="70" t="n">
        <x:v>100000</x:v>
      </x:c>
      <x:c r="F11" s="70" t="n">
        <x:v>525.1148664885228</x:v>
      </x:c>
      <x:c r="G11" s="70" t="n">
        <x:v>0.19876079390204363</x:v>
      </x:c>
      <x:c r="H11" s="70" t="n">
        <x:v>525.3136272824248</x:v>
      </x:c>
      <x:c r="I11" s="49" t="str">
        <x:v>kz</x:v>
      </x:c>
      <x:c r="J11" s="49" t="str">
        <x:v>sensitivity_cases()</x:v>
      </x:c>
    </x:row>
    <x:row r="12">
      <x:c r="A12" s="57" t="str">
        <x:v>振子质量 m2</x:v>
      </x:c>
      <x:c r="B12" s="49" t="str">
        <x:v>-10%</x:v>
      </x:c>
      <x:c r="C12" s="70" t="n">
        <x:v>2189.7000000000003</x:v>
      </x:c>
      <x:c r="D12" s="70" t="n">
        <x:v>57110.01324324766</x:v>
      </x:c>
      <x:c r="E12" s="70" t="n">
        <x:v>100000</x:v>
      </x:c>
      <x:c r="F12" s="70" t="n">
        <x:v>515.9516968452552</x:v>
      </x:c>
      <x:c r="G12" s="70" t="n">
        <x:v>0.16305574275019907</x:v>
      </x:c>
      <x:c r="H12" s="70" t="n">
        <x:v>516.1147525880054</x:v>
      </x:c>
      <x:c r="I12" s="49" t="str">
        <x:v>m2</x:v>
      </x:c>
      <x:c r="J12" s="49" t="str">
        <x:v>sensitivity_cases()</x:v>
      </x:c>
    </x:row>
    <x:row r="13">
      <x:c r="A13" s="57" t="str">
        <x:v>振子质量 m2</x:v>
      </x:c>
      <x:c r="B13" s="49" t="str">
        <x:v>+10%</x:v>
      </x:c>
      <x:c r="C13" s="70" t="n">
        <x:v>2676.3</x:v>
      </x:c>
      <x:c r="D13" s="70" t="n">
        <x:v>55820.1435655471</x:v>
      </x:c>
      <x:c r="E13" s="70" t="n">
        <x:v>100000</x:v>
      </x:c>
      <x:c r="F13" s="70" t="n">
        <x:v>204.60162735316698</x:v>
      </x:c>
      <x:c r="G13" s="70" t="n">
        <x:v>0.23797318516288093</x:v>
      </x:c>
      <x:c r="H13" s="70" t="n">
        <x:v>204.83960053832985</x:v>
      </x:c>
      <x:c r="I13" s="49" t="str">
        <x:v>m2</x:v>
      </x:c>
      <x:c r="J13" s="49" t="str">
        <x:v>sensitivity_cases()</x:v>
      </x:c>
    </x:row>
    <x:row r="14">
      <x:c r="A14" s="57" t="str">
        <x:v>附加质量 ma</x:v>
      </x:c>
      <x:c r="B14" s="49" t="str">
        <x:v>-10%</x:v>
      </x:c>
      <x:c r="C14" s="70" t="n">
        <x:v>981.9891</x:v>
      </x:c>
      <x:c r="D14" s="70" t="n">
        <x:v>62439.86632521314</x:v>
      </x:c>
      <x:c r="E14" s="70" t="n">
        <x:v>100000</x:v>
      </x:c>
      <x:c r="F14" s="70" t="n">
        <x:v>414.37701406288875</x:v>
      </x:c>
      <x:c r="G14" s="70" t="n">
        <x:v>0.19876079390204363</x:v>
      </x:c>
      <x:c r="H14" s="70" t="n">
        <x:v>414.5757748567908</x:v>
      </x:c>
      <x:c r="I14" s="49" t="str">
        <x:v>ma</x:v>
      </x:c>
      <x:c r="J14" s="49" t="str">
        <x:v>sensitivity_cases()</x:v>
      </x:c>
    </x:row>
    <x:row r="15">
      <x:c r="A15" s="58" t="str">
        <x:v>附加质量 ma</x:v>
      </x:c>
      <x:c r="B15" s="50" t="str">
        <x:v>+10%</x:v>
      </x:c>
      <x:c r="C15" s="71" t="n">
        <x:v>1200.2089</x:v>
      </x:c>
      <x:c r="D15" s="71" t="n">
        <x:v>55900.547367363055</x:v>
      </x:c>
      <x:c r="E15" s="71" t="n">
        <x:v>100000</x:v>
      </x:c>
      <x:c r="F15" s="71" t="n">
        <x:v>245.66225540697792</x:v>
      </x:c>
      <x:c r="G15" s="71" t="n">
        <x:v>0.19876079390204363</x:v>
      </x:c>
      <x:c r="H15" s="71" t="n">
        <x:v>245.86101620087996</x:v>
      </x:c>
      <x:c r="I15" s="50" t="str">
        <x:v>ma</x:v>
      </x:c>
      <x:c r="J15" s="50" t="str">
        <x:v>sensitivity_cases()</x:v>
      </x:c>
    </x:row>
    <x:row r="18" ht="22" customHeight="1">
      <x:c r="A18" s="13" t="str">
        <x:v>中心差分灵敏度摘要</x:v>
      </x:c>
      <x:c r="B18" s="13" t="str">
        <x:v>中心差分灵敏度摘要</x:v>
      </x:c>
      <x:c r="C18" s="13" t="str">
        <x:v>中心差分灵敏度摘要</x:v>
      </x:c>
      <x:c r="D18" s="13" t="str">
        <x:v>中心差分灵敏度摘要</x:v>
      </x:c>
      <x:c r="E18" s="13" t="str">
        <x:v>中心差分灵敏度摘要</x:v>
      </x:c>
    </x:row>
    <x:row r="19" ht="32" customHeight="1">
      <x:c r="A19" s="39" t="str">
        <x:v>参数</x:v>
      </x:c>
      <x:c r="B19" s="39" t="str">
        <x:v>−10%总功率（瓦）</x:v>
      </x:c>
      <x:c r="C19" s="39" t="str">
        <x:v>+10%总功率（瓦）</x:v>
      </x:c>
      <x:c r="D19" s="39" t="str">
        <x:v>归一化灵敏度 S_P</x:v>
      </x:c>
      <x:c r="E19" s="39" t="str">
        <x:v>绝对值排序</x:v>
      </x:c>
    </x:row>
    <x:row r="20">
      <x:c r="A20" s="21" t="str">
        <x:v>浮子质量 m1</x:v>
      </x:c>
      <x:c r="B20" s="41" t="n">
        <x:v>690.9487705217423</x:v>
      </x:c>
      <x:c r="C20" s="41" t="n">
        <x:v>114.29432029986339</x:v>
      </x:c>
      <x:c r="D20" s="41" t="n">
        <x:f>(C20-B20)/(0.2*'最优设计'!$B$17)</x:f>
        <x:v>-9.051659775953528</x:v>
      </x:c>
      <x:c r="E20" s="21" t="n">
        <x:v>1</x:v>
      </x:c>
    </x:row>
    <x:row r="21">
      <x:c r="A21" s="22" t="str">
        <x:v>波浪频率 omega</x:v>
      </x:c>
      <x:c r="B21" s="28" t="n">
        <x:v>53.04968861334346</x:v>
      </x:c>
      <x:c r="C21" s="28" t="n">
        <x:v>37.49417157997499</x:v>
      </x:c>
      <x:c r="D21" s="28" t="n">
        <x:f>(C21-B21)/(0.2*'最优设计'!$B$17)</x:f>
        <x:v>-0.2441726544743123</x:v>
      </x:c>
      <x:c r="E21" s="22" t="n">
        <x:v>2</x:v>
      </x:c>
    </x:row>
    <x:row r="22">
      <x:c r="A22" s="22" t="str">
        <x:v>垂荡刚度 kz</x:v>
      </x:c>
      <x:c r="B22" s="28" t="n">
        <x:v>69.38121483244461</x:v>
      </x:c>
      <x:c r="C22" s="28" t="n">
        <x:v>525.3136272824248</x:v>
      </x:c>
      <x:c r="D22" s="28" t="n">
        <x:f>(C22-B22)/(0.2*'最优设计'!$B$17)</x:f>
        <x:v>7.15670377075737</x:v>
      </x:c>
      <x:c r="E22" s="22" t="n">
        <x:v>3</x:v>
      </x:c>
    </x:row>
    <x:row r="23">
      <x:c r="A23" s="22" t="str">
        <x:v>振子质量 m2</x:v>
      </x:c>
      <x:c r="B23" s="28" t="n">
        <x:v>516.1147525880054</x:v>
      </x:c>
      <x:c r="C23" s="28" t="n">
        <x:v>204.83960053832985</x:v>
      </x:c>
      <x:c r="D23" s="28" t="n">
        <x:f>(C23-B23)/(0.2*'最优设计'!$B$17)</x:f>
        <x:v>-4.886040109423863</x:v>
      </x:c>
      <x:c r="E23" s="22" t="n">
        <x:v>4</x:v>
      </x:c>
    </x:row>
    <x:row r="24">
      <x:c r="A24" s="23" t="str">
        <x:v>附加质量 ma</x:v>
      </x:c>
      <x:c r="B24" s="33" t="n">
        <x:v>414.5757748567908</x:v>
      </x:c>
      <x:c r="C24" s="33" t="n">
        <x:v>245.86101620087996</x:v>
      </x:c>
      <x:c r="D24" s="33" t="n">
        <x:f>(C24-B24)/(0.2*'最优设计'!$B$17)</x:f>
        <x:v>-2.6482906599399616</x:v>
      </x:c>
      <x:c r="E24" s="23" t="n">
        <x:v>5</x:v>
      </x:c>
    </x:row>
  </x:sheetData>
  <x:mergeCells>
    <x:mergeCell ref="A1:J1"/>
    <x:mergeCell ref="A2:J2"/>
    <x:mergeCell ref="A4:J4"/>
    <x:mergeCell ref="A18:E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21" hidden="0" customWidth="1"/>
    <x:col min="5" max="5" width="20" hidden="0" customWidth="1"/>
    <x:col min="6" max="6" width="4" hidden="0" customWidth="1"/>
    <x:col min="7" max="7" width="30" hidden="0" customWidth="1"/>
    <x:col min="8" max="8" width="28" hidden="0" customWidth="1"/>
  </x:cols>
  <x:sheetData>
    <x:row r="1" ht="28" customHeight="1">
      <x:c r="A1" s="4" t="str">
        <x:v>安装参数与阻尼上限情景分析</x:v>
      </x:c>
      <x:c r="B1" s="4" t="str">
        <x:v>安装参数与阻尼上限情景分析</x:v>
      </x:c>
      <x:c r="C1" s="4" t="str">
        <x:v>安装参数与阻尼上限情景分析</x:v>
      </x:c>
      <x:c r="D1" s="4" t="str">
        <x:v>安装参数与阻尼上限情景分析</x:v>
      </x:c>
      <x:c r="E1" s="4" t="str">
        <x:v>安装参数与阻尼上限情景分析</x:v>
      </x:c>
      <x:c r="F1" s="4" t="str">
        <x:v>安装参数与阻尼上限情景分析</x:v>
      </x:c>
      <x:c r="G1" s="4" t="str">
        <x:v>安装参数与阻尼上限情景分析</x:v>
      </x:c>
      <x:c r="H1" s="4" t="str">
        <x:v>安装参数与阻尼上限情景分析</x:v>
      </x:c>
    </x:row>
    <x:row r="2" ht="30" customHeight="1">
      <x:c r="A2" s="9" t="str">
        <x:v>数据来源：代码/第四问代码/第四问.py；安装参数情景固定阻尼上限为100000，阻尼上限情景固定安装参数 a=0.000 米。</x:v>
      </x:c>
      <x:c r="B2" s="9" t="str">
        <x:v>数据来源：代码/第四问代码/第四问.py；安装参数情景固定阻尼上限为100000，阻尼上限情景固定安装参数 a=0.000 米。</x:v>
      </x:c>
      <x:c r="C2" s="9" t="str">
        <x:v>数据来源：代码/第四问代码/第四问.py；安装参数情景固定阻尼上限为100000，阻尼上限情景固定安装参数 a=0.000 米。</x:v>
      </x:c>
      <x:c r="D2" s="9" t="str">
        <x:v>数据来源：代码/第四问代码/第四问.py；安装参数情景固定阻尼上限为100000，阻尼上限情景固定安装参数 a=0.000 米。</x:v>
      </x:c>
      <x:c r="E2" s="9" t="str">
        <x:v>数据来源：代码/第四问代码/第四问.py；安装参数情景固定阻尼上限为100000，阻尼上限情景固定安装参数 a=0.000 米。</x:v>
      </x:c>
      <x:c r="F2" s="9" t="str">
        <x:v>数据来源：代码/第四问代码/第四问.py；安装参数情景固定阻尼上限为100000，阻尼上限情景固定安装参数 a=0.000 米。</x:v>
      </x:c>
      <x:c r="G2" s="9" t="str">
        <x:v>数据来源：代码/第四问代码/第四问.py；安装参数情景固定阻尼上限为100000，阻尼上限情景固定安装参数 a=0.000 米。</x:v>
      </x:c>
      <x:c r="H2" s="9" t="str">
        <x:v>数据来源：代码/第四问代码/第四问.py；安装参数情景固定阻尼上限为100000，阻尼上限情景固定安装参数 a=0.000 米。</x:v>
      </x:c>
    </x:row>
    <x:row r="4" ht="22" customHeight="1">
      <x:c r="A4" s="13" t="str">
        <x:v>安装参数 a 情景</x:v>
      </x:c>
      <x:c r="B4" s="13" t="str">
        <x:v>安装参数 a 情景</x:v>
      </x:c>
      <x:c r="C4" s="13" t="str">
        <x:v>安装参数 a 情景</x:v>
      </x:c>
      <x:c r="D4" s="13" t="str">
        <x:v>安装参数 a 情景</x:v>
      </x:c>
      <x:c r="E4" s="13" t="str">
        <x:v>安装参数 a 情景</x:v>
      </x:c>
    </x:row>
    <x:row r="5" ht="32" customHeight="1">
      <x:c r="A5" s="39" t="str">
        <x:v>安装参数 a（米）</x:v>
      </x:c>
      <x:c r="B5" s="39" t="str">
        <x:v>直线最优阻尼</x:v>
      </x:c>
      <x:c r="C5" s="39" t="str">
        <x:v>旋转最优阻尼</x:v>
      </x:c>
      <x:c r="D5" s="39" t="str">
        <x:v>最大总平均功率（瓦）</x:v>
      </x:c>
      <x:c r="E5" s="39" t="str">
        <x:v>数据来源</x:v>
      </x:c>
      <x:c r="G5" s="39" t="str">
        <x:v>结论提示</x:v>
      </x:c>
      <x:c r="H5" s="39" t="str">
        <x:v>代码结果</x:v>
      </x:c>
    </x:row>
    <x:row r="6">
      <x:c r="A6" s="27" t="n">
        <x:v>0</x:v>
      </x:c>
      <x:c r="B6" s="74" t="n">
        <x:v>59152.91607038817</x:v>
      </x:c>
      <x:c r="C6" s="74" t="n">
        <x:v>100000</x:v>
      </x:c>
      <x:c r="D6" s="74" t="n">
        <x:v>318.53519934200824</x:v>
      </x:c>
      <x:c r="E6" s="21" t="str">
        <x:v>scenario_design()</x:v>
      </x:c>
      <x:c r="G6" s="48" t="str">
        <x:v>a增大时总功率</x:v>
      </x:c>
      <x:c r="H6" s="48" t="str">
        <x:v>单调上升</x:v>
      </x:c>
    </x:row>
    <x:row r="7">
      <x:c r="A7" s="72" t="n">
        <x:v>0.3</x:v>
      </x:c>
      <x:c r="B7" s="75" t="n">
        <x:v>59152.91607038817</x:v>
      </x:c>
      <x:c r="C7" s="75" t="n">
        <x:v>100000</x:v>
      </x:c>
      <x:c r="D7" s="75" t="n">
        <x:v>318.94353144813607</x:v>
      </x:c>
      <x:c r="E7" s="22" t="str">
        <x:v>scenario_design()</x:v>
      </x:c>
      <x:c r="G7" s="49" t="str">
        <x:v>直线最优阻尼随a</x:v>
      </x:c>
      <x:c r="H7" s="49" t="str">
        <x:v>保持不变</x:v>
      </x:c>
    </x:row>
    <x:row r="8">
      <x:c r="A8" s="72" t="n">
        <x:v>0.6</x:v>
      </x:c>
      <x:c r="B8" s="75" t="n">
        <x:v>59152.91607038817</x:v>
      </x:c>
      <x:c r="C8" s="75" t="n">
        <x:v>100000</x:v>
      </x:c>
      <x:c r="D8" s="75" t="n">
        <x:v>319.61634673056733</x:v>
      </x:c>
      <x:c r="E8" s="22" t="str">
        <x:v>scenario_design()</x:v>
      </x:c>
      <x:c r="G8" s="49" t="str">
        <x:v>旋转最优阻尼随a</x:v>
      </x:c>
      <x:c r="H8" s="49" t="str">
        <x:v>保持上限</x:v>
      </x:c>
    </x:row>
    <x:row r="9">
      <x:c r="A9" s="72" t="n">
        <x:v>0.9</x:v>
      </x:c>
      <x:c r="B9" s="75" t="n">
        <x:v>59152.91607038817</x:v>
      </x:c>
      <x:c r="C9" s="75" t="n">
        <x:v>100000</x:v>
      </x:c>
      <x:c r="D9" s="75" t="n">
        <x:v>320.5261657053644</x:v>
      </x:c>
      <x:c r="E9" s="22" t="str">
        <x:v>scenario_design()</x:v>
      </x:c>
      <x:c r="G9" s="49" t="str">
        <x:v>阻尼上限达到80000后总功率</x:v>
      </x:c>
      <x:c r="H9" s="49" t="str">
        <x:v>接近平台</x:v>
      </x:c>
    </x:row>
    <x:row r="10">
      <x:c r="A10" s="73" t="n">
        <x:v>1.2</x:v>
      </x:c>
      <x:c r="B10" s="76" t="n">
        <x:v>59152.91607038817</x:v>
      </x:c>
      <x:c r="C10" s="76" t="n">
        <x:v>100000</x:v>
      </x:c>
      <x:c r="D10" s="76" t="n">
        <x:v>321.5952321465113</x:v>
      </x:c>
      <x:c r="E10" s="23" t="str">
        <x:v>scenario_design()</x:v>
      </x:c>
      <x:c r="G10" s="50" t="str">
        <x:v>阻尼上限达到150000后旋转最优</x:v>
      </x:c>
      <x:c r="H10" s="50" t="str">
        <x:v>回到无约束最优附近</x:v>
      </x:c>
    </x:row>
    <x:row r="12" ht="22" customHeight="1">
      <x:c r="A12" s="13" t="str">
        <x:v>阻尼上限情景</x:v>
      </x:c>
      <x:c r="B12" s="13" t="str">
        <x:v>阻尼上限情景</x:v>
      </x:c>
      <x:c r="C12" s="13" t="str">
        <x:v>阻尼上限情景</x:v>
      </x:c>
      <x:c r="D12" s="13" t="str">
        <x:v>阻尼上限情景</x:v>
      </x:c>
      <x:c r="E12" s="13" t="str">
        <x:v>阻尼上限情景</x:v>
      </x:c>
    </x:row>
    <x:row r="13" ht="32" customHeight="1">
      <x:c r="A13" s="39" t="str">
        <x:v>阻尼上限</x:v>
      </x:c>
      <x:c r="B13" s="39" t="str">
        <x:v>直线最优阻尼</x:v>
      </x:c>
      <x:c r="C13" s="39" t="str">
        <x:v>旋转最优阻尼</x:v>
      </x:c>
      <x:c r="D13" s="39" t="str">
        <x:v>最大总平均功率（瓦）</x:v>
      </x:c>
      <x:c r="E13" s="39" t="str">
        <x:v>数据来源</x:v>
      </x:c>
    </x:row>
    <x:row r="14">
      <x:c r="A14" s="74" t="n">
        <x:v>50000</x:v>
      </x:c>
      <x:c r="B14" s="74" t="n">
        <x:v>50000</x:v>
      </x:c>
      <x:c r="C14" s="74" t="n">
        <x:v>50000</x:v>
      </x:c>
      <x:c r="D14" s="74" t="n">
        <x:v>314.9893943788124</x:v>
      </x:c>
      <x:c r="E14" s="21" t="str">
        <x:v>scenario_design()</x:v>
      </x:c>
    </x:row>
    <x:row r="15">
      <x:c r="A15" s="75" t="n">
        <x:v>80000</x:v>
      </x:c>
      <x:c r="B15" s="75" t="n">
        <x:v>59152.91607038817</x:v>
      </x:c>
      <x:c r="C15" s="75" t="n">
        <x:v>80000</x:v>
      </x:c>
      <x:c r="D15" s="75" t="n">
        <x:v>318.5228469372369</x:v>
      </x:c>
      <x:c r="E15" s="22" t="str">
        <x:v>scenario_design()</x:v>
      </x:c>
    </x:row>
    <x:row r="16">
      <x:c r="A16" s="75" t="n">
        <x:v>100000</x:v>
      </x:c>
      <x:c r="B16" s="75" t="n">
        <x:v>59152.91607038817</x:v>
      </x:c>
      <x:c r="C16" s="75" t="n">
        <x:v>100000</x:v>
      </x:c>
      <x:c r="D16" s="75" t="n">
        <x:v>318.53519934200824</x:v>
      </x:c>
      <x:c r="E16" s="22" t="str">
        <x:v>scenario_design()</x:v>
      </x:c>
    </x:row>
    <x:row r="17">
      <x:c r="A17" s="75" t="n">
        <x:v>120000</x:v>
      </x:c>
      <x:c r="B17" s="75" t="n">
        <x:v>59152.91607038817</x:v>
      </x:c>
      <x:c r="C17" s="75" t="n">
        <x:v>120000</x:v>
      </x:c>
      <x:c r="D17" s="75" t="n">
        <x:v>318.5386300351552</x:v>
      </x:c>
      <x:c r="E17" s="22" t="str">
        <x:v>scenario_design()</x:v>
      </x:c>
    </x:row>
    <x:row r="18">
      <x:c r="A18" s="76" t="n">
        <x:v>150000</x:v>
      </x:c>
      <x:c r="B18" s="76" t="n">
        <x:v>59152.91607038817</x:v>
      </x:c>
      <x:c r="C18" s="76" t="n">
        <x:v>120392.58015503162</x:v>
      </x:c>
      <x:c r="D18" s="76" t="n">
        <x:v>318.53863111331117</x:v>
      </x:c>
      <x:c r="E18" s="23" t="str">
        <x:v>scenario_design()</x:v>
      </x:c>
    </x:row>
  </x:sheetData>
  <x:mergeCells>
    <x:mergeCell ref="A1:H1"/>
    <x:mergeCell ref="A2:H2"/>
    <x:mergeCell ref="A4:E4"/>
    <x:mergeCell ref="A12:E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25" hidden="0" customWidth="1"/>
    <x:col min="4" max="4" width="45" hidden="0" customWidth="1"/>
  </x:cols>
  <x:sheetData>
    <x:row r="1" ht="28" customHeight="1">
      <x:c r="A1" s="4" t="str">
        <x:v>问题四数据来源与复核说明</x:v>
      </x:c>
      <x:c r="B1" s="4" t="str">
        <x:v>问题四数据来源与复核说明</x:v>
      </x:c>
      <x:c r="C1" s="4" t="str">
        <x:v>问题四数据来源与复核说明</x:v>
      </x:c>
      <x:c r="D1" s="4" t="str">
        <x:v>问题四数据来源与复核说明</x:v>
      </x:c>
    </x:row>
    <x:row r="2" ht="30" customHeight="1">
      <x:c r="A2" s="9" t="str">
        <x:v>附件截图仅用于版式参考；图表中的模型数值以第4问代码实际运行结果为准。图内标签、图例和坐标均已改为中文。</x:v>
      </x:c>
      <x:c r="B2" s="9" t="str">
        <x:v>附件截图仅用于版式参考；图表中的模型数值以第4问代码实际运行结果为准。图内标签、图例和坐标均已改为中文。</x:v>
      </x:c>
      <x:c r="C2" s="9" t="str">
        <x:v>附件截图仅用于版式参考；图表中的模型数值以第4问代码实际运行结果为准。图内标签、图例和坐标均已改为中文。</x:v>
      </x:c>
      <x:c r="D2" s="9" t="str">
        <x:v>附件截图仅用于版式参考；图表中的模型数值以第4问代码实际运行结果为准。图内标签、图例和坐标均已改为中文。</x:v>
      </x:c>
    </x:row>
    <x:row r="4" ht="22" customHeight="1">
      <x:c r="A4" s="13" t="str">
        <x:v>来源清单</x:v>
      </x:c>
      <x:c r="B4" s="13" t="str">
        <x:v>来源清单</x:v>
      </x:c>
      <x:c r="C4" s="13" t="str">
        <x:v>来源清单</x:v>
      </x:c>
      <x:c r="D4" s="13" t="str">
        <x:v>来源清单</x:v>
      </x:c>
    </x:row>
    <x:row r="5" ht="32" customHeight="1">
      <x:c r="A5" s="39" t="str">
        <x:v>来源类型</x:v>
      </x:c>
      <x:c r="B5" s="39" t="str">
        <x:v>文件/位置</x:v>
      </x:c>
      <x:c r="C5" s="39" t="str">
        <x:v>用途</x:v>
      </x:c>
      <x:c r="D5" s="39" t="str">
        <x:v>复核方式</x:v>
      </x:c>
    </x:row>
    <x:row r="6">
      <x:c r="A6" s="48" t="str">
        <x:v>主程序</x:v>
      </x:c>
      <x:c r="B6" s="48" t="str">
        <x:v>代码/第四问代码/第四问.py</x:v>
      </x:c>
      <x:c r="C6" s="48" t="str">
        <x:v>G1模型、闭式优化、独立搜索、检验</x:v>
      </x:c>
      <x:c r="D6" s="48" t="str">
        <x:v>默认运行并逐项取值</x:v>
      </x:c>
    </x:row>
    <x:row r="7">
      <x:c r="A7" s="49" t="str">
        <x:v>参数来源</x:v>
      </x:c>
      <x:c r="B7" s="49" t="str">
        <x:v>第四问.py：Parameters 默认值</x:v>
      </x:c>
      <x:c r="C7" s="49" t="str">
        <x:v>质量、刚度、阻尼、激励及安装参数</x:v>
      </x:c>
      <x:c r="D7" s="49" t="str">
        <x:v>基准 a=0 m</x:v>
      </x:c>
    </x:row>
    <x:row r="8">
      <x:c r="A8" s="49" t="str">
        <x:v>图像输出</x:v>
      </x:c>
      <x:c r="B8" s="49" t="str">
        <x:v>结果图像/第四问图像/</x:v>
      </x:c>
      <x:c r="C8" s="49" t="str">
        <x:v>图4-1至图4-7的PNG、SVG</x:v>
      </x:c>
      <x:c r="D8" s="49" t="str">
        <x:v>同一JSON快照生成</x:v>
      </x:c>
    </x:row>
    <x:row r="9">
      <x:c r="A9" s="49" t="str">
        <x:v>结果表格</x:v>
      </x:c>
      <x:c r="B9" s="49" t="str">
        <x:v>结果表格/第四问表格/第四问_结果表格.xlsx</x:v>
      </x:c>
      <x:c r="C9" s="49" t="str">
        <x:v>最优结果、检验、灵敏度、情景</x:v>
      </x:c>
      <x:c r="D9" s="49" t="str">
        <x:v>公式和代码数值并列</x:v>
      </x:c>
    </x:row>
    <x:row r="10">
      <x:c r="A10" s="50" t="str">
        <x:v>核对表</x:v>
      </x:c>
      <x:c r="B10" s="50" t="str">
        <x:v>结果表格/第四问表格/第四问_图表核对表.xlsx</x:v>
      </x:c>
      <x:c r="C10" s="50" t="str">
        <x:v>图编号、来源、坐标、图例、标注、数值</x:v>
      </x:c>
      <x:c r="D10" s="50" t="str">
        <x:v>逐图核查</x:v>
      </x:c>
    </x:row>
    <x:row r="12" ht="22" customHeight="1">
      <x:c r="A12" s="13" t="str">
        <x:v>基准计算约定</x:v>
      </x:c>
      <x:c r="B12" s="13" t="str">
        <x:v>基准计算约定</x:v>
      </x:c>
      <x:c r="C12" s="13" t="str">
        <x:v>基准计算约定</x:v>
      </x:c>
      <x:c r="D12" s="13" t="str">
        <x:v>基准计算约定</x:v>
      </x:c>
    </x:row>
    <x:row r="13" ht="32" customHeight="1">
      <x:c r="A13" s="39" t="str">
        <x:v>约定</x:v>
      </x:c>
      <x:c r="B13" s="39" t="str">
        <x:v>取值</x:v>
      </x:c>
      <x:c r="C13" s="39" t="str">
        <x:v>单位</x:v>
      </x:c>
      <x:c r="D13" s="39" t="str">
        <x:v>说明</x:v>
      </x:c>
    </x:row>
    <x:row r="14">
      <x:c r="A14" s="48" t="str">
        <x:v>安装参数 a</x:v>
      </x:c>
      <x:c r="B14" s="48" t="n">
        <x:v>0</x:v>
      </x:c>
      <x:c r="C14" s="48" t="str">
        <x:v>米</x:v>
      </x:c>
      <x:c r="D14" s="48" t="str">
        <x:v>代码默认值；需改变时使用 --a</x:v>
      </x:c>
    </x:row>
    <x:row r="15">
      <x:c r="A15" s="49" t="str">
        <x:v>阻尼设计域</x:v>
      </x:c>
      <x:c r="B15" s="49" t="str">
        <x:v>0 至 100000</x:v>
      </x:c>
      <x:c r="C15" s="49" t="str">
        <x:v>相应设计变量单位</x:v>
      </x:c>
      <x:c r="D15" s="49" t="str">
        <x:v>旋转通道基准无约束最优超过上限</x:v>
      </x:c>
    </x:row>
    <x:row r="16">
      <x:c r="A16" s="49" t="str">
        <x:v>网格交叉验证</x:v>
      </x:c>
      <x:c r="B16" s="49" t="n">
        <x:v>100001</x:v>
      </x:c>
      <x:c r="C16" s="49" t="str">
        <x:v>点</x:v>
      </x:c>
      <x:c r="D16" s="49" t="str">
        <x:v>一维高密度网格；21×21仅用于联合图示</x:v>
      </x:c>
    </x:row>
    <x:row r="17">
      <x:c r="A17" s="49" t="str">
        <x:v>时域复核</x:v>
      </x:c>
      <x:c r="B17" s="49" t="str">
        <x:v>80周期，后60周期</x:v>
      </x:c>
      <x:c r="C17" s="49" t="str">
        <x:v>波浪周期</x:v>
      </x:c>
      <x:c r="D17" s="49" t="str">
        <x:v>高精度时域平均功率</x:v>
      </x:c>
    </x:row>
    <x:row r="18">
      <x:c r="A18" s="50" t="str">
        <x:v>图像规范</x:v>
      </x:c>
      <x:c r="B18" s="50" t="str">
        <x:v>PNG + SVG</x:v>
      </x:c>
      <x:c r="C18" s="50" t="str">
        <x:v>格式</x:v>
      </x:c>
      <x:c r="D18" s="50" t="str">
        <x:v>单图单文件；无大标题、中文坐标和图例</x:v>
      </x:c>
    </x:row>
  </x:sheetData>
  <x:mergeCells>
    <x:mergeCell ref="A1:D1"/>
    <x:mergeCell ref="A2:D2"/>
    <x:mergeCell ref="A4:D4"/>
    <x:mergeCell ref="A12:D12"/>
  </x:mergeCells>
  <x:pageMargins left="0.7" right="0.7" top="0.75" bottom="0.75" header="0.3" footer="0.3"/>
</x:worksheet>
</file>